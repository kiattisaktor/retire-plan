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แผนสะสมเงิน 38-60 ปี" sheetId="1" state="visible" r:id="rId1"/>
    <sheet xmlns:r="http://schemas.openxmlformats.org/officeDocument/2006/relationships" name="2_โครงสร้าง 6 ตะกร้า 25 ล้าน" sheetId="2" state="visible" r:id="rId2"/>
    <sheet xmlns:r="http://schemas.openxmlformats.org/officeDocument/2006/relationships" name="3_กระแสเงินสดหลังเกษียณ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%"/>
  </numFmts>
  <fonts count="13">
    <font>
      <name val="Calibri"/>
      <family val="2"/>
      <color theme="1"/>
      <sz val="11"/>
      <scheme val="minor"/>
    </font>
    <font>
      <name val="Arial"/>
      <b val="1"/>
      <color rgb="001B365D"/>
      <sz val="16"/>
    </font>
    <font>
      <name val="Arial"/>
      <i val="1"/>
      <color rgb="0064748B"/>
      <sz val="11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0"/>
    </font>
    <font>
      <name val="Arial"/>
      <color rgb="002563EB"/>
      <sz val="10"/>
    </font>
    <font>
      <name val="Arial"/>
      <b val="1"/>
      <color rgb="001E40AF"/>
      <sz val="10"/>
    </font>
    <font>
      <name val="Arial"/>
      <b val="1"/>
      <color rgb="000D5C3A"/>
      <sz val="10"/>
    </font>
    <font>
      <name val="Arial"/>
      <b val="1"/>
      <color rgb="00047857"/>
      <sz val="10"/>
    </font>
    <font>
      <name val="Arial"/>
      <i val="1"/>
      <sz val="10"/>
    </font>
    <font>
      <name val="Arial"/>
      <b val="1"/>
      <color rgb="000D5C3A"/>
      <sz val="11"/>
    </font>
    <font>
      <name val="Arial"/>
      <b val="1"/>
      <color rgb="001B365D"/>
      <sz val="12"/>
    </font>
  </fonts>
  <fills count="12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1F5F9"/>
        <bgColor rgb="00F1F5F9"/>
      </patternFill>
    </fill>
    <fill>
      <patternFill patternType="solid">
        <fgColor rgb="00E0F2FE"/>
        <bgColor rgb="00E0F2FE"/>
      </patternFill>
    </fill>
    <fill>
      <patternFill patternType="solid">
        <fgColor rgb="00DCFCE7"/>
        <bgColor rgb="00DCFCE7"/>
      </patternFill>
    </fill>
    <fill>
      <patternFill patternType="solid">
        <fgColor rgb="00FFFFFF"/>
        <bgColor rgb="00FFFFFF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0D5C3A"/>
        <bgColor rgb="000D5C3A"/>
      </patternFill>
    </fill>
    <fill>
      <patternFill patternType="solid">
        <fgColor rgb="00FFFBEB"/>
        <bgColor rgb="00FFFBEB"/>
      </patternFill>
    </fill>
    <fill>
      <patternFill patternType="solid">
        <fgColor rgb="00334155"/>
        <bgColor rgb="0033415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right" vertical="center"/>
    </xf>
    <xf numFmtId="3" fontId="6" fillId="3" borderId="1" applyAlignment="1" pivotButton="0" quotePrefix="0" xfId="0">
      <alignment horizontal="right" vertical="center"/>
    </xf>
    <xf numFmtId="3" fontId="7" fillId="3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3" fontId="8" fillId="5" borderId="1" applyAlignment="1" pivotButton="0" quotePrefix="0" xfId="0">
      <alignment horizontal="right" vertical="center"/>
    </xf>
    <xf numFmtId="3" fontId="9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3" fontId="4" fillId="6" borderId="1" applyAlignment="1" pivotButton="0" quotePrefix="0" xfId="0">
      <alignment horizontal="right" vertical="center"/>
    </xf>
    <xf numFmtId="3" fontId="6" fillId="6" borderId="1" applyAlignment="1" pivotButton="0" quotePrefix="0" xfId="0">
      <alignment horizontal="right" vertical="center"/>
    </xf>
    <xf numFmtId="3" fontId="7" fillId="6" borderId="1" applyAlignment="1" pivotButton="0" quotePrefix="0" xfId="0">
      <alignment horizontal="right" vertical="center"/>
    </xf>
    <xf numFmtId="3" fontId="9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3" fontId="4" fillId="7" borderId="1" applyAlignment="1" pivotButton="0" quotePrefix="0" xfId="0">
      <alignment horizontal="right" vertical="center"/>
    </xf>
    <xf numFmtId="3" fontId="6" fillId="7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  <xf numFmtId="3" fontId="9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0" fontId="5" fillId="8" borderId="2" pivotButton="0" quotePrefix="0" xfId="0"/>
    <xf numFmtId="0" fontId="5" fillId="8" borderId="2" applyAlignment="1" pivotButton="0" quotePrefix="0" xfId="0">
      <alignment horizontal="center" vertical="center"/>
    </xf>
    <xf numFmtId="3" fontId="5" fillId="8" borderId="2" applyAlignment="1" pivotButton="0" quotePrefix="0" xfId="0">
      <alignment horizontal="right" vertical="center"/>
    </xf>
    <xf numFmtId="0" fontId="11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3" fillId="9" borderId="0" applyAlignment="1" pivotButton="0" quotePrefix="0" xfId="0">
      <alignment horizontal="center" vertical="center" wrapText="1"/>
    </xf>
    <xf numFmtId="0" fontId="5" fillId="3" borderId="1" pivotButton="0" quotePrefix="0" xfId="0"/>
    <xf numFmtId="3" fontId="5" fillId="3" borderId="1" applyAlignment="1" pivotButton="0" quotePrefix="0" xfId="0">
      <alignment horizontal="righ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right" vertical="center"/>
    </xf>
    <xf numFmtId="0" fontId="4" fillId="3" borderId="1" pivotButton="0" quotePrefix="0" xfId="0"/>
    <xf numFmtId="0" fontId="5" fillId="6" borderId="1" pivotButton="0" quotePrefix="0" xfId="0"/>
    <xf numFmtId="3" fontId="5" fillId="6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165" fontId="4" fillId="6" borderId="1" applyAlignment="1" pivotButton="0" quotePrefix="0" xfId="0">
      <alignment horizontal="right" vertical="center"/>
    </xf>
    <xf numFmtId="0" fontId="4" fillId="6" borderId="1" pivotButton="0" quotePrefix="0" xfId="0"/>
    <xf numFmtId="164" fontId="5" fillId="8" borderId="2" applyAlignment="1" pivotButton="0" quotePrefix="0" xfId="0">
      <alignment horizontal="right" vertical="center"/>
    </xf>
    <xf numFmtId="165" fontId="5" fillId="8" borderId="2" applyAlignment="1" pivotButton="0" quotePrefix="0" xfId="0">
      <alignment horizontal="right" vertical="center"/>
    </xf>
    <xf numFmtId="0" fontId="0" fillId="10" borderId="1" applyAlignment="1" pivotButton="0" quotePrefix="0" xfId="0">
      <alignment horizontal="center" vertical="center"/>
    </xf>
    <xf numFmtId="0" fontId="5" fillId="10" borderId="1" pivotButton="0" quotePrefix="0" xfId="0"/>
    <xf numFmtId="0" fontId="5" fillId="10" borderId="1" applyAlignment="1" pivotButton="0" quotePrefix="0" xfId="0">
      <alignment horizontal="right" vertical="center"/>
    </xf>
    <xf numFmtId="0" fontId="10" fillId="10" borderId="1" pivotButton="0" quotePrefix="0" xfId="0"/>
    <xf numFmtId="0" fontId="1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0" fillId="6" borderId="1" applyAlignment="1" pivotButton="0" quotePrefix="0" xfId="0">
      <alignment horizontal="right" vertical="center"/>
    </xf>
    <xf numFmtId="0" fontId="5" fillId="5" borderId="2" pivotButton="0" quotePrefix="0" xfId="0"/>
    <xf numFmtId="3" fontId="5" fillId="5" borderId="2" applyAlignment="1" pivotButton="0" quotePrefix="0" xfId="0">
      <alignment horizontal="right" vertical="center"/>
    </xf>
    <xf numFmtId="0" fontId="3" fillId="9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P37"/>
  <sheetViews>
    <sheetView showGridLines="1" workbookViewId="0">
      <selection activeCell="A1" sqref="A1"/>
    </sheetView>
  </sheetViews>
  <sheetFormatPr baseColWidth="8" defaultRowHeight="15"/>
  <cols>
    <col width="6" customWidth="1" min="2" max="2"/>
    <col width="10" customWidth="1" min="3" max="3"/>
    <col width="16" customWidth="1" min="4" max="4"/>
    <col width="18" customWidth="1" min="5" max="5"/>
    <col width="20" customWidth="1" min="6" max="6"/>
    <col width="18" customWidth="1" min="7" max="7"/>
    <col width="18" customWidth="1" min="8" max="8"/>
    <col width="16" customWidth="1" min="9" max="9"/>
    <col width="18" customWidth="1" min="10" max="10"/>
    <col width="16" customWidth="1" min="11" max="11"/>
    <col width="20" customWidth="1" min="12" max="12"/>
    <col width="18" customWidth="1" min="13" max="13"/>
    <col width="20" customWidth="1" min="14" max="14"/>
    <col width="20" customWidth="1" min="15" max="15"/>
    <col width="40" customWidth="1" min="16" max="16"/>
  </cols>
  <sheetData>
    <row r="2">
      <c r="B2" s="1" t="inlineStr">
        <is>
          <t>แผนการออม การลงทุน และรายได้ สู่เป้าหมายเกษียณ 25 ล้านบาท</t>
        </is>
      </c>
    </row>
    <row r="3">
      <c r="B3" s="2" t="inlineStr">
        <is>
          <t>พนักงาน กฟผ. ช่วงอายุ 38 - 60 ปี (รวม 23 ปี) | คำนวณรายได้จากเงินเดือน + โบนัส 2 เดือน</t>
        </is>
      </c>
    </row>
    <row r="5" ht="36" customHeight="1">
      <c r="B5" s="3" t="inlineStr">
        <is>
          <t>ลำดับ</t>
        </is>
      </c>
      <c r="C5" s="3" t="inlineStr">
        <is>
          <t>อายุ (ปี)</t>
        </is>
      </c>
      <c r="D5" s="3" t="inlineStr">
        <is>
          <t>ฐานเงินเดือน (บาท)</t>
        </is>
      </c>
      <c r="E5" s="3" t="inlineStr">
        <is>
          <t>โบนัสประจำปี (~2 ด.)</t>
        </is>
      </c>
      <c r="F5" s="3" t="inlineStr">
        <is>
          <t>รวมรายได้ต่อปี (บาท)</t>
        </is>
      </c>
      <c r="G5" s="3" t="inlineStr">
        <is>
          <t>PVD สะสม 15% (บ./ด.)</t>
        </is>
      </c>
      <c r="H5" s="3" t="inlineStr">
        <is>
          <t>หุ้น สอ.กฟผ. (บ./ด.)</t>
        </is>
      </c>
      <c r="I5" s="3" t="inlineStr">
        <is>
          <t>กองทุน RMF (บ./ด.)</t>
        </is>
      </c>
      <c r="J5" s="3" t="inlineStr">
        <is>
          <t>ประกันเดิม 3 ฉบับ (บ./ด.)</t>
        </is>
      </c>
      <c r="K5" s="3" t="inlineStr">
        <is>
          <t>ฝากพิเศษ สอ. (บ./ด.)</t>
        </is>
      </c>
      <c r="L5" s="3" t="inlineStr">
        <is>
          <t>รวมหักเงินเดือนประจำ</t>
        </is>
      </c>
      <c r="M5" s="3" t="inlineStr">
        <is>
          <t>บำนาญใหม่ (โบนัส)</t>
        </is>
      </c>
      <c r="N5" s="3" t="inlineStr">
        <is>
          <t>รวมจ่ายทั้งปี (บาท)</t>
        </is>
      </c>
      <c r="O5" s="3" t="inlineStr">
        <is>
          <t>เงินเหลือใช้สุทธิ/ปี</t>
        </is>
      </c>
      <c r="P5" s="3" t="inlineStr">
        <is>
          <t>หมุดหมายสำคัญ / Strategic Action</t>
        </is>
      </c>
    </row>
    <row r="6" ht="22" customHeight="1">
      <c r="B6" s="4" t="n">
        <v>1</v>
      </c>
      <c r="C6" s="5" t="n">
        <v>38</v>
      </c>
      <c r="D6" s="6" t="n">
        <v>63000</v>
      </c>
      <c r="E6" s="7">
        <f>D6*2</f>
        <v/>
      </c>
      <c r="F6" s="8">
        <f>D6*12+E6</f>
        <v/>
      </c>
      <c r="G6" s="6">
        <f>ROUND(D6*0.15, 0)</f>
        <v/>
      </c>
      <c r="H6" s="6" t="n">
        <v>20000</v>
      </c>
      <c r="I6" s="6" t="n">
        <v>2000</v>
      </c>
      <c r="J6" s="6" t="n">
        <v>9583</v>
      </c>
      <c r="K6" s="6" t="n">
        <v>0</v>
      </c>
      <c r="L6" s="9">
        <f>SUM(G6:K6)</f>
        <v/>
      </c>
      <c r="M6" s="6" t="n">
        <v>0</v>
      </c>
      <c r="N6" s="10">
        <f>L6*12+M6</f>
        <v/>
      </c>
      <c r="O6" s="11">
        <f>F6-N6</f>
        <v/>
      </c>
      <c r="P6" s="12" t="inlineStr">
        <is>
          <t>เริ่มแผน: สอ. 20k/ด. ล็อกเป้า 4M, RMF 2k/ด., PVD 15%</t>
        </is>
      </c>
    </row>
    <row r="7" ht="22" customHeight="1">
      <c r="B7" s="13" t="n">
        <v>2</v>
      </c>
      <c r="C7" s="14" t="n">
        <v>39</v>
      </c>
      <c r="D7" s="15" t="n">
        <v>66150</v>
      </c>
      <c r="E7" s="16">
        <f>D7*2</f>
        <v/>
      </c>
      <c r="F7" s="17">
        <f>D7*12+E7</f>
        <v/>
      </c>
      <c r="G7" s="15">
        <f>ROUND(D7*0.15, 0)</f>
        <v/>
      </c>
      <c r="H7" s="15" t="n">
        <v>20000</v>
      </c>
      <c r="I7" s="15" t="n">
        <v>2000</v>
      </c>
      <c r="J7" s="15" t="n">
        <v>9583</v>
      </c>
      <c r="K7" s="15" t="n">
        <v>0</v>
      </c>
      <c r="L7" s="9">
        <f>SUM(G7:K7)</f>
        <v/>
      </c>
      <c r="M7" s="15" t="n">
        <v>0</v>
      </c>
      <c r="N7" s="10">
        <f>L7*12+M7</f>
        <v/>
      </c>
      <c r="O7" s="18">
        <f>F7-N7</f>
        <v/>
      </c>
      <c r="P7" s="19" t="inlineStr">
        <is>
          <t>ฐานเงินเดือนโต 5% ต่อปี</t>
        </is>
      </c>
    </row>
    <row r="8" ht="22" customHeight="1">
      <c r="B8" s="4" t="n">
        <v>3</v>
      </c>
      <c r="C8" s="5" t="n">
        <v>40</v>
      </c>
      <c r="D8" s="6" t="n">
        <v>69458</v>
      </c>
      <c r="E8" s="7">
        <f>D8*2</f>
        <v/>
      </c>
      <c r="F8" s="8">
        <f>D8*12+E8</f>
        <v/>
      </c>
      <c r="G8" s="6">
        <f>ROUND(D8*0.15, 0)</f>
        <v/>
      </c>
      <c r="H8" s="6" t="n">
        <v>20000</v>
      </c>
      <c r="I8" s="6" t="n">
        <v>2000</v>
      </c>
      <c r="J8" s="6" t="n">
        <v>9583</v>
      </c>
      <c r="K8" s="6" t="n">
        <v>0</v>
      </c>
      <c r="L8" s="9">
        <f>SUM(G8:K8)</f>
        <v/>
      </c>
      <c r="M8" s="6" t="n">
        <v>0</v>
      </c>
      <c r="N8" s="10">
        <f>L8*12+M8</f>
        <v/>
      </c>
      <c r="O8" s="11">
        <f>F8-N8</f>
        <v/>
      </c>
      <c r="P8" s="12" t="inlineStr">
        <is>
          <t>สะสมหุ้น สอ. ต่อเนื่อง</t>
        </is>
      </c>
    </row>
    <row r="9" ht="22" customHeight="1">
      <c r="B9" s="13" t="n">
        <v>4</v>
      </c>
      <c r="C9" s="14" t="n">
        <v>41</v>
      </c>
      <c r="D9" s="15" t="n">
        <v>72930</v>
      </c>
      <c r="E9" s="16">
        <f>D9*2</f>
        <v/>
      </c>
      <c r="F9" s="17">
        <f>D9*12+E9</f>
        <v/>
      </c>
      <c r="G9" s="15">
        <f>ROUND(D9*0.15, 0)</f>
        <v/>
      </c>
      <c r="H9" s="15" t="n">
        <v>20000</v>
      </c>
      <c r="I9" s="15" t="n">
        <v>2000</v>
      </c>
      <c r="J9" s="15" t="n">
        <v>10000</v>
      </c>
      <c r="K9" s="15" t="n">
        <v>0</v>
      </c>
      <c r="L9" s="9">
        <f>SUM(G9:K9)</f>
        <v/>
      </c>
      <c r="M9" s="15" t="n">
        <v>0</v>
      </c>
      <c r="N9" s="10">
        <f>L9*12+M9</f>
        <v/>
      </c>
      <c r="O9" s="18">
        <f>F9-N9</f>
        <v/>
      </c>
      <c r="P9" s="19" t="inlineStr">
        <is>
          <t>ปรับเบี้ยประกันสุขภาพตามช่วงอายุ</t>
        </is>
      </c>
    </row>
    <row r="10" ht="22" customHeight="1">
      <c r="B10" s="20" t="n">
        <v>5</v>
      </c>
      <c r="C10" s="21" t="n">
        <v>42</v>
      </c>
      <c r="D10" s="22" t="n">
        <v>76577</v>
      </c>
      <c r="E10" s="23">
        <f>D10*2</f>
        <v/>
      </c>
      <c r="F10" s="24">
        <f>D10*12+E10</f>
        <v/>
      </c>
      <c r="G10" s="22">
        <f>ROUND(D10*0.15, 0)</f>
        <v/>
      </c>
      <c r="H10" s="22" t="n">
        <v>20000</v>
      </c>
      <c r="I10" s="22" t="n">
        <v>2000</v>
      </c>
      <c r="J10" s="22" t="n">
        <v>10000</v>
      </c>
      <c r="K10" s="22" t="n">
        <v>0</v>
      </c>
      <c r="L10" s="9">
        <f>SUM(G10:K10)</f>
        <v/>
      </c>
      <c r="M10" s="22" t="n">
        <v>0</v>
      </c>
      <c r="N10" s="10">
        <f>L10*12+M10</f>
        <v/>
      </c>
      <c r="O10" s="25">
        <f>F10-N10</f>
        <v/>
      </c>
      <c r="P10" s="26" t="inlineStr">
        <is>
          <t>ปีสุดท้ายที่ส่ง สอ.กฟผ. ครบเป้าหมายเงินต้น 4,000,000 บ.</t>
        </is>
      </c>
    </row>
    <row r="11" ht="22" customHeight="1">
      <c r="B11" s="20" t="n">
        <v>6</v>
      </c>
      <c r="C11" s="21" t="n">
        <v>43</v>
      </c>
      <c r="D11" s="22" t="n">
        <v>80406</v>
      </c>
      <c r="E11" s="23">
        <f>D11*2</f>
        <v/>
      </c>
      <c r="F11" s="24">
        <f>D11*12+E11</f>
        <v/>
      </c>
      <c r="G11" s="22">
        <f>ROUND(D11*0.15, 0)</f>
        <v/>
      </c>
      <c r="H11" s="22" t="n">
        <v>0</v>
      </c>
      <c r="I11" s="22" t="n">
        <v>24000</v>
      </c>
      <c r="J11" s="22" t="n">
        <v>10000</v>
      </c>
      <c r="K11" s="22" t="n">
        <v>0</v>
      </c>
      <c r="L11" s="9">
        <f>SUM(G11:K11)</f>
        <v/>
      </c>
      <c r="M11" s="22" t="n">
        <v>0</v>
      </c>
      <c r="N11" s="10">
        <f>L11*12+M11</f>
        <v/>
      </c>
      <c r="O11" s="25">
        <f>F11-N11</f>
        <v/>
      </c>
      <c r="P11" s="26" t="inlineStr">
        <is>
          <t>หยุดส่ง สอ. (ปันผล 15k/ด. โอนให้แม่ 100%), เร่ง RMF เป็น 24k/ด.</t>
        </is>
      </c>
    </row>
    <row r="12" ht="22" customHeight="1">
      <c r="B12" s="4" t="n">
        <v>7</v>
      </c>
      <c r="C12" s="5" t="n">
        <v>44</v>
      </c>
      <c r="D12" s="6" t="n">
        <v>84426</v>
      </c>
      <c r="E12" s="7">
        <f>D12*2</f>
        <v/>
      </c>
      <c r="F12" s="8">
        <f>D12*12+E12</f>
        <v/>
      </c>
      <c r="G12" s="6">
        <f>ROUND(D12*0.15, 0)</f>
        <v/>
      </c>
      <c r="H12" s="6" t="n">
        <v>0</v>
      </c>
      <c r="I12" s="6" t="n">
        <v>24000</v>
      </c>
      <c r="J12" s="6" t="n">
        <v>10000</v>
      </c>
      <c r="K12" s="6" t="n">
        <v>0</v>
      </c>
      <c r="L12" s="9">
        <f>SUM(G12:K12)</f>
        <v/>
      </c>
      <c r="M12" s="6" t="n">
        <v>0</v>
      </c>
      <c r="N12" s="10">
        <f>L12*12+M12</f>
        <v/>
      </c>
      <c r="O12" s="11">
        <f>F12-N12</f>
        <v/>
      </c>
      <c r="P12" s="12" t="inlineStr">
        <is>
          <t>เร่งสปีดหุ้นโลกผ่าน PVD 15% + RMF 24k</t>
        </is>
      </c>
    </row>
    <row r="13" ht="22" customHeight="1">
      <c r="B13" s="13" t="n">
        <v>8</v>
      </c>
      <c r="C13" s="14" t="n">
        <v>45</v>
      </c>
      <c r="D13" s="15" t="n">
        <v>88647</v>
      </c>
      <c r="E13" s="16">
        <f>D13*2</f>
        <v/>
      </c>
      <c r="F13" s="17">
        <f>D13*12+E13</f>
        <v/>
      </c>
      <c r="G13" s="15">
        <f>ROUND(D13*0.15, 0)</f>
        <v/>
      </c>
      <c r="H13" s="15" t="n">
        <v>0</v>
      </c>
      <c r="I13" s="15" t="n">
        <v>24000</v>
      </c>
      <c r="J13" s="15" t="n">
        <v>10000</v>
      </c>
      <c r="K13" s="15" t="n">
        <v>0</v>
      </c>
      <c r="L13" s="9">
        <f>SUM(G13:K13)</f>
        <v/>
      </c>
      <c r="M13" s="15" t="n">
        <v>0</v>
      </c>
      <c r="N13" s="10">
        <f>L13*12+M13</f>
        <v/>
      </c>
      <c r="O13" s="18">
        <f>F13-N13</f>
        <v/>
      </c>
      <c r="P13" s="19" t="inlineStr">
        <is>
          <t>ช่วงสะสมสินทรัพย์เติบโตสูง</t>
        </is>
      </c>
    </row>
    <row r="14" ht="22" customHeight="1">
      <c r="B14" s="4" t="n">
        <v>9</v>
      </c>
      <c r="C14" s="5" t="n">
        <v>46</v>
      </c>
      <c r="D14" s="6" t="n">
        <v>93080</v>
      </c>
      <c r="E14" s="7">
        <f>D14*2</f>
        <v/>
      </c>
      <c r="F14" s="8">
        <f>D14*12+E14</f>
        <v/>
      </c>
      <c r="G14" s="6">
        <f>ROUND(D14*0.15, 0)</f>
        <v/>
      </c>
      <c r="H14" s="6" t="n">
        <v>0</v>
      </c>
      <c r="I14" s="6" t="n">
        <v>24000</v>
      </c>
      <c r="J14" s="6" t="n">
        <v>10667</v>
      </c>
      <c r="K14" s="6" t="n">
        <v>0</v>
      </c>
      <c r="L14" s="9">
        <f>SUM(G14:K14)</f>
        <v/>
      </c>
      <c r="M14" s="6" t="n">
        <v>0</v>
      </c>
      <c r="N14" s="10">
        <f>L14*12+M14</f>
        <v/>
      </c>
      <c r="O14" s="11">
        <f>F14-N14</f>
        <v/>
      </c>
      <c r="P14" s="12" t="inlineStr">
        <is>
          <t>ปรับเบี้ยประกันสุขภาพตามช่วงอายุ 46-50 ปี</t>
        </is>
      </c>
    </row>
    <row r="15" ht="22" customHeight="1">
      <c r="B15" s="13" t="n">
        <v>10</v>
      </c>
      <c r="C15" s="14" t="n">
        <v>47</v>
      </c>
      <c r="D15" s="15" t="n">
        <v>97734</v>
      </c>
      <c r="E15" s="16">
        <f>D15*2</f>
        <v/>
      </c>
      <c r="F15" s="17">
        <f>D15*12+E15</f>
        <v/>
      </c>
      <c r="G15" s="15">
        <f>ROUND(D15*0.15, 0)</f>
        <v/>
      </c>
      <c r="H15" s="15" t="n">
        <v>0</v>
      </c>
      <c r="I15" s="15" t="n">
        <v>24000</v>
      </c>
      <c r="J15" s="15" t="n">
        <v>10667</v>
      </c>
      <c r="K15" s="15" t="n">
        <v>0</v>
      </c>
      <c r="L15" s="9">
        <f>SUM(G15:K15)</f>
        <v/>
      </c>
      <c r="M15" s="15" t="n">
        <v>0</v>
      </c>
      <c r="N15" s="10">
        <f>L15*12+M15</f>
        <v/>
      </c>
      <c r="O15" s="18">
        <f>F15-N15</f>
        <v/>
      </c>
      <c r="P15" s="19" t="inlineStr">
        <is>
          <t>เตรียมแตะเพดานเงินเดือน กฟผ.</t>
        </is>
      </c>
    </row>
    <row r="16" ht="22" customHeight="1">
      <c r="B16" s="20" t="n">
        <v>11</v>
      </c>
      <c r="C16" s="21" t="n">
        <v>48</v>
      </c>
      <c r="D16" s="22" t="n">
        <v>100000</v>
      </c>
      <c r="E16" s="23">
        <f>D16*2</f>
        <v/>
      </c>
      <c r="F16" s="24">
        <f>D16*12+E16</f>
        <v/>
      </c>
      <c r="G16" s="22">
        <f>ROUND(D16*0.15, 0)</f>
        <v/>
      </c>
      <c r="H16" s="22" t="n">
        <v>0</v>
      </c>
      <c r="I16" s="22" t="n">
        <v>24000</v>
      </c>
      <c r="J16" s="22" t="n">
        <v>10667</v>
      </c>
      <c r="K16" s="22" t="n">
        <v>0</v>
      </c>
      <c r="L16" s="9">
        <f>SUM(G16:K16)</f>
        <v/>
      </c>
      <c r="M16" s="22" t="n">
        <v>0</v>
      </c>
      <c r="N16" s="10">
        <f>L16*12+M16</f>
        <v/>
      </c>
      <c r="O16" s="25">
        <f>F16-N16</f>
        <v/>
      </c>
      <c r="P16" s="26" t="inlineStr">
        <is>
          <t>ฐานเงินเดือนแตะเพดาน 100,000 บ. (PVD หักคงที่ 15,000 บ./ด.)</t>
        </is>
      </c>
    </row>
    <row r="17" ht="22" customHeight="1">
      <c r="B17" s="13" t="n">
        <v>12</v>
      </c>
      <c r="C17" s="14" t="n">
        <v>49</v>
      </c>
      <c r="D17" s="15" t="n">
        <v>100000</v>
      </c>
      <c r="E17" s="16">
        <f>D17*2</f>
        <v/>
      </c>
      <c r="F17" s="17">
        <f>D17*12+E17</f>
        <v/>
      </c>
      <c r="G17" s="15">
        <f>ROUND(D17*0.15, 0)</f>
        <v/>
      </c>
      <c r="H17" s="15" t="n">
        <v>0</v>
      </c>
      <c r="I17" s="15" t="n">
        <v>24000</v>
      </c>
      <c r="J17" s="15" t="n">
        <v>10667</v>
      </c>
      <c r="K17" s="15" t="n">
        <v>0</v>
      </c>
      <c r="L17" s="9">
        <f>SUM(G17:K17)</f>
        <v/>
      </c>
      <c r="M17" s="15" t="n">
        <v>0</v>
      </c>
      <c r="N17" s="10">
        <f>L17*12+M17</f>
        <v/>
      </c>
      <c r="O17" s="18">
        <f>F17-N17</f>
        <v/>
      </c>
      <c r="P17" s="19" t="inlineStr">
        <is>
          <t>ปีสุดท้ายของการเร่ง RMF 24k/ด.</t>
        </is>
      </c>
    </row>
    <row r="18" ht="22" customHeight="1">
      <c r="B18" s="4" t="n">
        <v>13</v>
      </c>
      <c r="C18" s="5" t="n">
        <v>50</v>
      </c>
      <c r="D18" s="6" t="n">
        <v>100000</v>
      </c>
      <c r="E18" s="7">
        <f>D18*2</f>
        <v/>
      </c>
      <c r="F18" s="8">
        <f>D18*12+E18</f>
        <v/>
      </c>
      <c r="G18" s="6">
        <f>ROUND(D18*0.15, 0)</f>
        <v/>
      </c>
      <c r="H18" s="6" t="n">
        <v>0</v>
      </c>
      <c r="I18" s="6" t="n">
        <v>16000</v>
      </c>
      <c r="J18" s="6" t="n">
        <v>10667</v>
      </c>
      <c r="K18" s="6" t="n">
        <v>0</v>
      </c>
      <c r="L18" s="9">
        <f>SUM(G18:K18)</f>
        <v/>
      </c>
      <c r="M18" s="6" t="n">
        <v>100000</v>
      </c>
      <c r="N18" s="10">
        <f>L18*12+M18</f>
        <v/>
      </c>
      <c r="O18" s="11">
        <f>F18-N18</f>
        <v/>
      </c>
      <c r="P18" s="12" t="inlineStr">
        <is>
          <t>RMF ลดเหลือ 16k/ด. + ซื้อบำนาญใหม่ #3 จ่าย 100k/ปี จากโบนัส (ปี 1/5)</t>
        </is>
      </c>
    </row>
    <row r="19" ht="22" customHeight="1">
      <c r="B19" s="13" t="n">
        <v>14</v>
      </c>
      <c r="C19" s="14" t="n">
        <v>51</v>
      </c>
      <c r="D19" s="15" t="n">
        <v>100000</v>
      </c>
      <c r="E19" s="16">
        <f>D19*2</f>
        <v/>
      </c>
      <c r="F19" s="17">
        <f>D19*12+E19</f>
        <v/>
      </c>
      <c r="G19" s="15">
        <f>ROUND(D19*0.15, 0)</f>
        <v/>
      </c>
      <c r="H19" s="15" t="n">
        <v>0</v>
      </c>
      <c r="I19" s="15" t="n">
        <v>16000</v>
      </c>
      <c r="J19" s="15" t="n">
        <v>11500</v>
      </c>
      <c r="K19" s="15" t="n">
        <v>0</v>
      </c>
      <c r="L19" s="9">
        <f>SUM(G19:K19)</f>
        <v/>
      </c>
      <c r="M19" s="15" t="n">
        <v>100000</v>
      </c>
      <c r="N19" s="10">
        <f>L19*12+M19</f>
        <v/>
      </c>
      <c r="O19" s="18">
        <f>F19-N19</f>
        <v/>
      </c>
      <c r="P19" s="19" t="inlineStr">
        <is>
          <t>บำนาญใหม่ #3 จ่าย 100k/ปี (ปี 2/5) | ปรับเบี้ยสุขภาพช่วง 51-55</t>
        </is>
      </c>
    </row>
    <row r="20" ht="22" customHeight="1">
      <c r="B20" s="4" t="n">
        <v>15</v>
      </c>
      <c r="C20" s="5" t="n">
        <v>52</v>
      </c>
      <c r="D20" s="6" t="n">
        <v>100000</v>
      </c>
      <c r="E20" s="7">
        <f>D20*2</f>
        <v/>
      </c>
      <c r="F20" s="8">
        <f>D20*12+E20</f>
        <v/>
      </c>
      <c r="G20" s="6">
        <f>ROUND(D20*0.15, 0)</f>
        <v/>
      </c>
      <c r="H20" s="6" t="n">
        <v>0</v>
      </c>
      <c r="I20" s="6" t="n">
        <v>16000</v>
      </c>
      <c r="J20" s="6" t="n">
        <v>11500</v>
      </c>
      <c r="K20" s="6" t="n">
        <v>0</v>
      </c>
      <c r="L20" s="9">
        <f>SUM(G20:K20)</f>
        <v/>
      </c>
      <c r="M20" s="6" t="n">
        <v>100000</v>
      </c>
      <c r="N20" s="10">
        <f>L20*12+M20</f>
        <v/>
      </c>
      <c r="O20" s="11">
        <f>F20-N20</f>
        <v/>
      </c>
      <c r="P20" s="12" t="inlineStr">
        <is>
          <t>บำนาญใหม่ #3 จ่าย 100k/ปี (ปี 3/5)</t>
        </is>
      </c>
    </row>
    <row r="21" ht="22" customHeight="1">
      <c r="B21" s="20" t="n">
        <v>16</v>
      </c>
      <c r="C21" s="21" t="n">
        <v>53</v>
      </c>
      <c r="D21" s="22" t="n">
        <v>100000</v>
      </c>
      <c r="E21" s="23">
        <f>D21*2</f>
        <v/>
      </c>
      <c r="F21" s="24">
        <f>D21*12+E21</f>
        <v/>
      </c>
      <c r="G21" s="22">
        <f>ROUND(D21*0.15, 0)</f>
        <v/>
      </c>
      <c r="H21" s="22" t="n">
        <v>0</v>
      </c>
      <c r="I21" s="22" t="n">
        <v>16000</v>
      </c>
      <c r="J21" s="22" t="n">
        <v>11500</v>
      </c>
      <c r="K21" s="22" t="n">
        <v>0</v>
      </c>
      <c r="L21" s="9">
        <f>SUM(G21:K21)</f>
        <v/>
      </c>
      <c r="M21" s="22" t="n">
        <v>200000</v>
      </c>
      <c r="N21" s="10">
        <f>L21*12+M21</f>
        <v/>
      </c>
      <c r="O21" s="25">
        <f>F21-N21</f>
        <v/>
      </c>
      <c r="P21" s="26" t="inlineStr">
        <is>
          <t>ซื้อบำนาญ 85/5 เพิ่ม 100k/ปี (ปี 1/5) ซ้อนบำนาญ #3 (ปี 4/5) รวม 200k/ปี</t>
        </is>
      </c>
    </row>
    <row r="22" ht="22" customHeight="1">
      <c r="B22" s="4" t="n">
        <v>17</v>
      </c>
      <c r="C22" s="5" t="n">
        <v>54</v>
      </c>
      <c r="D22" s="6" t="n">
        <v>100000</v>
      </c>
      <c r="E22" s="7">
        <f>D22*2</f>
        <v/>
      </c>
      <c r="F22" s="8">
        <f>D22*12+E22</f>
        <v/>
      </c>
      <c r="G22" s="6">
        <f>ROUND(D22*0.15, 0)</f>
        <v/>
      </c>
      <c r="H22" s="6" t="n">
        <v>0</v>
      </c>
      <c r="I22" s="6" t="n">
        <v>16000</v>
      </c>
      <c r="J22" s="6" t="n">
        <v>11500</v>
      </c>
      <c r="K22" s="6" t="n">
        <v>0</v>
      </c>
      <c r="L22" s="9">
        <f>SUM(G22:K22)</f>
        <v/>
      </c>
      <c r="M22" s="6" t="n">
        <v>200000</v>
      </c>
      <c r="N22" s="10">
        <f>L22*12+M22</f>
        <v/>
      </c>
      <c r="O22" s="11">
        <f>F22-N22</f>
        <v/>
      </c>
      <c r="P22" s="12" t="inlineStr">
        <is>
          <t>บำนาญ 85/5 (ปี 2/5) + บำนาญ #3 (ปี 5/5 งวดสุดท้าย) รวม 200k/ปี</t>
        </is>
      </c>
    </row>
    <row r="23" ht="22" customHeight="1">
      <c r="B23" s="13" t="n">
        <v>18</v>
      </c>
      <c r="C23" s="14" t="n">
        <v>55</v>
      </c>
      <c r="D23" s="15" t="n">
        <v>100000</v>
      </c>
      <c r="E23" s="16">
        <f>D23*2</f>
        <v/>
      </c>
      <c r="F23" s="17">
        <f>D23*12+E23</f>
        <v/>
      </c>
      <c r="G23" s="15">
        <f>ROUND(D23*0.15, 0)</f>
        <v/>
      </c>
      <c r="H23" s="15" t="n">
        <v>0</v>
      </c>
      <c r="I23" s="15" t="n">
        <v>16000</v>
      </c>
      <c r="J23" s="15" t="n">
        <v>11500</v>
      </c>
      <c r="K23" s="15" t="n">
        <v>0</v>
      </c>
      <c r="L23" s="9">
        <f>SUM(G23:K23)</f>
        <v/>
      </c>
      <c r="M23" s="15" t="n">
        <v>100000</v>
      </c>
      <c r="N23" s="10">
        <f>L23*12+M23</f>
        <v/>
      </c>
      <c r="O23" s="18">
        <f>F23-N23</f>
        <v/>
      </c>
      <c r="P23" s="19" t="inlineStr">
        <is>
          <t>สับ PVD+RMF เข้าตราสารหนี้ | บำนาญ 85/5 (ปี 3/5)</t>
        </is>
      </c>
    </row>
    <row r="24" ht="22" customHeight="1">
      <c r="B24" s="4" t="n">
        <v>19</v>
      </c>
      <c r="C24" s="5" t="n">
        <v>56</v>
      </c>
      <c r="D24" s="6" t="n">
        <v>100000</v>
      </c>
      <c r="E24" s="7">
        <f>D24*2</f>
        <v/>
      </c>
      <c r="F24" s="8">
        <f>D24*12+E24</f>
        <v/>
      </c>
      <c r="G24" s="6">
        <f>ROUND(D24*0.15, 0)</f>
        <v/>
      </c>
      <c r="H24" s="6" t="n">
        <v>0</v>
      </c>
      <c r="I24" s="6" t="n">
        <v>16000</v>
      </c>
      <c r="J24" s="6" t="n">
        <v>12500</v>
      </c>
      <c r="K24" s="6" t="n">
        <v>0</v>
      </c>
      <c r="L24" s="9">
        <f>SUM(G24:K24)</f>
        <v/>
      </c>
      <c r="M24" s="6" t="n">
        <v>100000</v>
      </c>
      <c r="N24" s="10">
        <f>L24*12+M24</f>
        <v/>
      </c>
      <c r="O24" s="11">
        <f>F24-N24</f>
        <v/>
      </c>
      <c r="P24" s="12" t="inlineStr">
        <is>
          <t>บำนาญ 85/5 (ปี 4/5) | ปรับเบี้ยสุขภาพช่วง 56-60</t>
        </is>
      </c>
    </row>
    <row r="25" ht="22" customHeight="1">
      <c r="B25" s="20" t="n">
        <v>20</v>
      </c>
      <c r="C25" s="21" t="n">
        <v>57</v>
      </c>
      <c r="D25" s="22" t="n">
        <v>100000</v>
      </c>
      <c r="E25" s="23">
        <f>D25*2</f>
        <v/>
      </c>
      <c r="F25" s="24">
        <f>D25*12+E25</f>
        <v/>
      </c>
      <c r="G25" s="22">
        <f>ROUND(D25*0.15, 0)</f>
        <v/>
      </c>
      <c r="H25" s="22" t="n">
        <v>0</v>
      </c>
      <c r="I25" s="22" t="n">
        <v>16000</v>
      </c>
      <c r="J25" s="22" t="n">
        <v>12500</v>
      </c>
      <c r="K25" s="22" t="n">
        <v>0</v>
      </c>
      <c r="L25" s="9">
        <f>SUM(G25:K25)</f>
        <v/>
      </c>
      <c r="M25" s="22" t="n">
        <v>100000</v>
      </c>
      <c r="N25" s="10">
        <f>L25*12+M25</f>
        <v/>
      </c>
      <c r="O25" s="25">
        <f>F25-N25</f>
        <v/>
      </c>
      <c r="P25" s="26" t="inlineStr">
        <is>
          <t>ส่งประกันสะสมทรัพย์งวดสุดท้าย | บำนาญ 85/5 งวดสุดท้าย (ปี 5/5)</t>
        </is>
      </c>
    </row>
    <row r="26" ht="22" customHeight="1">
      <c r="B26" s="4" t="n">
        <v>21</v>
      </c>
      <c r="C26" s="5" t="n">
        <v>58</v>
      </c>
      <c r="D26" s="6" t="n">
        <v>100000</v>
      </c>
      <c r="E26" s="7">
        <f>D26*2</f>
        <v/>
      </c>
      <c r="F26" s="8">
        <f>D26*12+E26</f>
        <v/>
      </c>
      <c r="G26" s="6">
        <f>ROUND(D26*0.15, 0)</f>
        <v/>
      </c>
      <c r="H26" s="6" t="n">
        <v>0</v>
      </c>
      <c r="I26" s="6" t="n">
        <v>16000</v>
      </c>
      <c r="J26" s="6" t="n">
        <v>9167</v>
      </c>
      <c r="K26" s="6" t="n">
        <v>0</v>
      </c>
      <c r="L26" s="9">
        <f>SUM(G26:K26)</f>
        <v/>
      </c>
      <c r="M26" s="6" t="n">
        <v>0</v>
      </c>
      <c r="N26" s="10">
        <f>L26*12+M26</f>
        <v/>
      </c>
      <c r="O26" s="11">
        <f>F26-N26</f>
        <v/>
      </c>
      <c r="P26" s="12" t="inlineStr">
        <is>
          <t>หยุดส่งสะสมทรัพย์ (รับเงินคืน 250k เข้า e-Savings) เหลือส่งบำนาญเดิม+สุขภาพ</t>
        </is>
      </c>
    </row>
    <row r="27" ht="22" customHeight="1">
      <c r="B27" s="13" t="n">
        <v>22</v>
      </c>
      <c r="C27" s="14" t="n">
        <v>59</v>
      </c>
      <c r="D27" s="15" t="n">
        <v>100000</v>
      </c>
      <c r="E27" s="16">
        <f>D27*2</f>
        <v/>
      </c>
      <c r="F27" s="17">
        <f>D27*12+E27</f>
        <v/>
      </c>
      <c r="G27" s="15">
        <f>ROUND(D27*0.15, 0)</f>
        <v/>
      </c>
      <c r="H27" s="15" t="n">
        <v>0</v>
      </c>
      <c r="I27" s="15" t="n">
        <v>16000</v>
      </c>
      <c r="J27" s="15" t="n">
        <v>9167</v>
      </c>
      <c r="K27" s="15" t="n">
        <v>0</v>
      </c>
      <c r="L27" s="9">
        <f>SUM(G27:K27)</f>
        <v/>
      </c>
      <c r="M27" s="15" t="n">
        <v>0</v>
      </c>
      <c r="N27" s="10">
        <f>L27*12+M27</f>
        <v/>
      </c>
      <c r="O27" s="18">
        <f>F27-N27</f>
        <v/>
      </c>
      <c r="P27" s="19" t="inlineStr">
        <is>
          <t>เตรียมความพร้อมก่อนเกษียณ 1 ปี (วางแผนโยก PVD เข้า สอ. ภายใน 60 วัน)</t>
        </is>
      </c>
    </row>
    <row r="28" ht="22" customHeight="1">
      <c r="B28" s="20" t="n">
        <v>23</v>
      </c>
      <c r="C28" s="21" t="n">
        <v>60</v>
      </c>
      <c r="D28" s="22" t="n">
        <v>100000</v>
      </c>
      <c r="E28" s="23">
        <f>D28*2</f>
        <v/>
      </c>
      <c r="F28" s="24">
        <f>D28*12+E28</f>
        <v/>
      </c>
      <c r="G28" s="22">
        <f>ROUND(D28*0.15, 0)</f>
        <v/>
      </c>
      <c r="H28" s="22" t="n">
        <v>0</v>
      </c>
      <c r="I28" s="22" t="n">
        <v>16000</v>
      </c>
      <c r="J28" s="22" t="n">
        <v>9167</v>
      </c>
      <c r="K28" s="22" t="n">
        <v>0</v>
      </c>
      <c r="L28" s="9">
        <f>SUM(G28:K28)</f>
        <v/>
      </c>
      <c r="M28" s="22" t="n">
        <v>0</v>
      </c>
      <c r="N28" s="10">
        <f>L28*12+M28</f>
        <v/>
      </c>
      <c r="O28" s="25">
        <f>F28-N28</f>
        <v/>
      </c>
      <c r="P28" s="26" t="inlineStr">
        <is>
          <t>ปีสุดท้าย: ส่งบำนาญเดิมงวดสุดท้าย + รับเงินชดเชยเกษียณ 400 วัน 1.312M + โยก PVD 5M ฝากพิเศษเกษียณสุข</t>
        </is>
      </c>
    </row>
    <row r="29" ht="26" customHeight="1">
      <c r="B29" s="27" t="inlineStr"/>
      <c r="C29" s="28" t="inlineStr">
        <is>
          <t>รวมตลอด 23 ปี</t>
        </is>
      </c>
      <c r="D29" s="29">
        <f>SUM(D6:D28)</f>
        <v/>
      </c>
      <c r="E29" s="29">
        <f>SUM(E6:E28)</f>
        <v/>
      </c>
      <c r="F29" s="29">
        <f>SUM(F6:F28)</f>
        <v/>
      </c>
      <c r="G29" s="29">
        <f>SUM(G6:G28)*12</f>
        <v/>
      </c>
      <c r="H29" s="29">
        <f>SUM(H6:H28)*12</f>
        <v/>
      </c>
      <c r="I29" s="29">
        <f>SUM(I6:I28)*12</f>
        <v/>
      </c>
      <c r="J29" s="29">
        <f>SUM(J6:J28)*12</f>
        <v/>
      </c>
      <c r="K29" s="29">
        <f>SUM(K6:K28)*12</f>
        <v/>
      </c>
      <c r="L29" s="28" t="inlineStr">
        <is>
          <t>-</t>
        </is>
      </c>
      <c r="M29" s="29">
        <f>SUM(M6:M28)</f>
        <v/>
      </c>
      <c r="N29" s="29">
        <f>SUM(N6:N28)</f>
        <v/>
      </c>
      <c r="O29" s="29">
        <f>SUM(O6:O28)</f>
        <v/>
      </c>
      <c r="P29" s="27" t="inlineStr">
        <is>
          <t>ยอดรวมสะสมตลอด 23 ปี สู่เป้าหมาย 25 ล้านบาท</t>
        </is>
      </c>
    </row>
    <row r="31">
      <c r="C31" s="30" t="inlineStr">
        <is>
          <t>📌 บันทึกความหมายของปีหมุดหมายสำคัญ (แถบไฮไลท์สีเขียว):</t>
        </is>
      </c>
    </row>
    <row r="32">
      <c r="C32" s="31" t="inlineStr">
        <is>
          <t>อายุ 42 ปี</t>
        </is>
      </c>
      <c r="D32" s="32" t="inlineStr">
        <is>
          <t>ส่งหุ้น สอ.กฟผ. ปีสุดท้าย สะสมเงินต้นครบ 4,000,000 บาท ตามเป้าหมาย</t>
        </is>
      </c>
    </row>
    <row r="33">
      <c r="C33" s="31" t="inlineStr">
        <is>
          <t>อายุ 43 ปี</t>
        </is>
      </c>
      <c r="D33" s="32" t="inlineStr">
        <is>
          <t>จุดเปลี่ยนกลยุทธ์ (Pivot Year) หยุดส่งหุ้น สอ. นำปันผล 15k/ด. โอนให้แม่ 100% และเร่ง RMF เป็น 24,000 บ./ด.</t>
        </is>
      </c>
    </row>
    <row r="34">
      <c r="C34" s="31" t="inlineStr">
        <is>
          <t>อายุ 48 ปี</t>
        </is>
      </c>
      <c r="D34" s="32" t="inlineStr">
        <is>
          <t>ฐานเงินเดือน กฟผ. แตะเพดาน 100,000 บาท ทำให้ PVD 15% ล็อกสูงสุด 15,000 บ./ด. คงที่ตลอดไป</t>
        </is>
      </c>
    </row>
    <row r="35">
      <c r="C35" s="31" t="inlineStr">
        <is>
          <t>อายุ 53 ปี</t>
        </is>
      </c>
      <c r="D35" s="32" t="inlineStr">
        <is>
          <t>ภาระบำนาญชนยอดสูงสุด ซื้อบำนาญ 85/5 ซ้อนกับบำนาญ #3 หักจากเงินโบนัสรวมสูงสุด 200,000 บ./ปี</t>
        </is>
      </c>
    </row>
    <row r="36">
      <c r="C36" s="31" t="inlineStr">
        <is>
          <t>อายุ 57 ปี</t>
        </is>
      </c>
      <c r="D36" s="32" t="inlineStr">
        <is>
          <t>ส่งเบี้ยสะสมทรัพย์และบำนาญ 85/5 งวดสุดท้าย ปลดภาระจ่ายประกัน (เตรียมรับเงินคืน 250k ตอนอายุ 58 และ 62)</t>
        </is>
      </c>
    </row>
    <row r="37">
      <c r="C37" s="31" t="inlineStr">
        <is>
          <t>อายุ 60 ปี</t>
        </is>
      </c>
      <c r="D37" s="32" t="inlineStr">
        <is>
          <t>วันเกษียณอายุ กฟผ. ส่งบำนาญเดิมงวดสุดท้าย + รับเงินชดเชยเกษียณ 400 วัน (~1.312M สุทธิ) สินทรัพย์แตะ 25 ล้านบาท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1" workbookViewId="0">
      <selection activeCell="A1" sqref="A1"/>
    </sheetView>
  </sheetViews>
  <sheetFormatPr baseColWidth="8" defaultRowHeight="15"/>
  <cols>
    <col width="10" customWidth="1" min="2" max="2"/>
    <col width="32" customWidth="1" min="3" max="3"/>
    <col width="22" customWidth="1" min="4" max="4"/>
    <col width="14" customWidth="1" min="5" max="5"/>
    <col width="20" customWidth="1" min="6" max="6"/>
    <col width="22" customWidth="1" min="7" max="7"/>
    <col width="24" customWidth="1" min="8" max="8"/>
    <col width="42" customWidth="1" min="9" max="9"/>
  </cols>
  <sheetData>
    <row r="2">
      <c r="B2" s="1" t="inlineStr">
        <is>
          <t>โครงสร้างพอร์ตสินทรัพย์ 25.00 ล้านบาท ณ วันเกษียณอายุ 60 ปี</t>
        </is>
      </c>
    </row>
    <row r="3">
      <c r="B3" s="2" t="inlineStr">
        <is>
          <t>กระจายความเสี่ยง 6 ตะกร้าสินทรัพย์ + ทองคำแท่ง 5 บาท สำรองพิเศษ | ผลิตกระแสเงินสดมั่นคง</t>
        </is>
      </c>
    </row>
    <row r="5" ht="36" customHeight="1">
      <c r="B5" s="33" t="inlineStr">
        <is>
          <t>ตะกร้าที่</t>
        </is>
      </c>
      <c r="C5" s="33" t="inlineStr">
        <is>
          <t>รายการสินทรัพย์ / สถาบัน</t>
        </is>
      </c>
      <c r="D5" s="33" t="inlineStr">
        <is>
          <t>เงินต้นวันเกษียณ (บาท)</t>
        </is>
      </c>
      <c r="E5" s="33" t="inlineStr">
        <is>
          <t>สัดส่วน (%)</t>
        </is>
      </c>
      <c r="F5" s="33" t="inlineStr">
        <is>
          <t>ผลตอบแทนสุทธิ (%/ปี)</t>
        </is>
      </c>
      <c r="G5" s="33" t="inlineStr">
        <is>
          <t>กระแสเงินสดรับ (บาท/ปี)</t>
        </is>
      </c>
      <c r="H5" s="33" t="inlineStr">
        <is>
          <t>กระแสเงินสดรับ (บาท/เดือน)</t>
        </is>
      </c>
      <c r="I5" s="33" t="inlineStr">
        <is>
          <t>บทบาทและหน้าที่ในแผนเกษียณ</t>
        </is>
      </c>
    </row>
    <row r="6" ht="24" customHeight="1">
      <c r="B6" s="5" t="n">
        <v>1</v>
      </c>
      <c r="C6" s="34" t="inlineStr">
        <is>
          <t>เงินฝากพิเศษเกษียณสุข สอ.กฟผ.</t>
        </is>
      </c>
      <c r="D6" s="35" t="n">
        <v>5000000</v>
      </c>
      <c r="E6" s="36">
        <f>D6/D12</f>
        <v/>
      </c>
      <c r="F6" s="37" t="n">
        <v>0.035</v>
      </c>
      <c r="G6" s="6">
        <f>ROUND(D6*F6, 0)</f>
        <v/>
      </c>
      <c r="H6" s="10">
        <f>ROUND(G6/12, 0)</f>
        <v/>
      </c>
      <c r="I6" s="38" t="inlineStr">
        <is>
          <t>โยกจาก PVD สูงสุด 5 ล้านบาท ภายใน 60 วัน (ปลอดภาษี)</t>
        </is>
      </c>
    </row>
    <row r="7" ht="24" customHeight="1">
      <c r="B7" s="14" t="n">
        <v>2</v>
      </c>
      <c r="C7" s="39" t="inlineStr">
        <is>
          <t>ทุนเรือนหุ้น สอ.กฟผ. (ท่อคุณแม่)</t>
        </is>
      </c>
      <c r="D7" s="40" t="n">
        <v>4000000</v>
      </c>
      <c r="E7" s="41">
        <f>D7/D12</f>
        <v/>
      </c>
      <c r="F7" s="42" t="n">
        <v>0.045</v>
      </c>
      <c r="G7" s="15">
        <f>ROUND(D7*F7, 0)</f>
        <v/>
      </c>
      <c r="H7" s="10">
        <f>ROUND(G7/12, 0)</f>
        <v/>
      </c>
      <c r="I7" s="43" t="inlineStr">
        <is>
          <t>โอนตรงให้คุณแม่ 100% แยกบัญชีขาด (15k/ด.) (ปลอดภาษี)</t>
        </is>
      </c>
    </row>
    <row r="8" ht="24" customHeight="1">
      <c r="B8" s="5" t="n">
        <v>3</v>
      </c>
      <c r="C8" s="34" t="inlineStr">
        <is>
          <t>พันธบัตรรัฐบาล / วอลเล็ต สบม.</t>
        </is>
      </c>
      <c r="D8" s="35" t="n">
        <v>6500000</v>
      </c>
      <c r="E8" s="36">
        <f>D8/D12</f>
        <v/>
      </c>
      <c r="F8" s="37" t="n">
        <v>0.02295</v>
      </c>
      <c r="G8" s="6">
        <f>ROUND(D8*F8, 0)</f>
        <v/>
      </c>
      <c r="H8" s="10">
        <f>ROUND(G8/12, 0)</f>
        <v/>
      </c>
      <c r="I8" s="38" t="inlineStr">
        <is>
          <t>ล็อกผลตอบแทนระยะยาว ไร้ความเสี่ยงผิดนัด (เพิ่ม 1 ล้าน) (หลังหักภาษี 15%)</t>
        </is>
      </c>
    </row>
    <row r="9" ht="24" customHeight="1">
      <c r="B9" s="14" t="n">
        <v>4</v>
      </c>
      <c r="C9" s="39" t="inlineStr">
        <is>
          <t>กองทุนตลาดเงิน Treasury MMF</t>
        </is>
      </c>
      <c r="D9" s="40" t="n">
        <v>4000000</v>
      </c>
      <c r="E9" s="41">
        <f>D9/D12</f>
        <v/>
      </c>
      <c r="F9" s="42" t="n">
        <v>0.019</v>
      </c>
      <c r="G9" s="15">
        <f>ROUND(D9*F9, 0)</f>
        <v/>
      </c>
      <c r="H9" s="10">
        <f>ROUND(G9/12, 0)</f>
        <v/>
      </c>
      <c r="I9" s="43" t="inlineStr">
        <is>
          <t>เสริมสภาพคล่องสูง T+1 พร้อมสับเปลี่ยน (ปลอดภาษี)</t>
        </is>
      </c>
    </row>
    <row r="10" ht="24" customHeight="1">
      <c r="B10" s="5" t="n">
        <v>5</v>
      </c>
      <c r="C10" s="34" t="inlineStr">
        <is>
          <t>สลากออมทรัพย์ 3 สถาบัน</t>
        </is>
      </c>
      <c r="D10" s="35" t="n">
        <v>3000000</v>
      </c>
      <c r="E10" s="36">
        <f>D10/D12</f>
        <v/>
      </c>
      <c r="F10" s="37" t="n">
        <v>0.012</v>
      </c>
      <c r="G10" s="6">
        <f>ROUND(D10*F10, 0)</f>
        <v/>
      </c>
      <c r="H10" s="10">
        <f>ROUND(G10/12, 0)</f>
        <v/>
      </c>
      <c r="I10" s="38" t="inlineStr">
        <is>
          <t>ทุนสำรองสภาพคล่องด่านแรก ทยอยดึงใช้หลังอายุ 70 (ดอกเบี้ย+รางวัลเฉลี่ย)</t>
        </is>
      </c>
    </row>
    <row r="11" ht="24" customHeight="1">
      <c r="B11" s="14" t="n">
        <v>6</v>
      </c>
      <c r="C11" s="39" t="inlineStr">
        <is>
          <t>e-Savings + คืนประกัน + เงิน 400 วัน</t>
        </is>
      </c>
      <c r="D11" s="40" t="n">
        <v>2500000</v>
      </c>
      <c r="E11" s="41">
        <f>D11/D12</f>
        <v/>
      </c>
      <c r="F11" s="42" t="n">
        <v>0.01275</v>
      </c>
      <c r="G11" s="15">
        <f>ROUND(D11*F11, 0)</f>
        <v/>
      </c>
      <c r="H11" s="10">
        <f>ROUND(G11/12, 0)</f>
        <v/>
      </c>
      <c r="I11" s="43" t="inlineStr">
        <is>
          <t>สภาพคล่องฉุกเฉิน ดูแลสุขภาพและกองทุนคุณแม่ (หลังหักภาษี 15%)</t>
        </is>
      </c>
    </row>
    <row r="12" ht="26" customHeight="1">
      <c r="B12" s="27" t="inlineStr"/>
      <c r="C12" s="28" t="inlineStr">
        <is>
          <t>รวมพอร์ตสินทรัพย์ 6 ตะกร้า</t>
        </is>
      </c>
      <c r="D12" s="29">
        <f>SUM(D6:D11)</f>
        <v/>
      </c>
      <c r="E12" s="44">
        <f>SUM(E6:E11)</f>
        <v/>
      </c>
      <c r="F12" s="45">
        <f>G12/D12</f>
        <v/>
      </c>
      <c r="G12" s="29">
        <f>SUM(G6:G11)</f>
        <v/>
      </c>
      <c r="H12" s="29">
        <f>SUM(H6:H11)</f>
        <v/>
      </c>
      <c r="I12" s="27" t="inlineStr">
        <is>
          <t>ผลิตกระแสเงินสดเฉลี่ย 54,004 บ./เดือน (รวมท่อคุณแม่ 15,000 บ./ด.)</t>
        </is>
      </c>
    </row>
    <row r="14">
      <c r="B14" s="46" t="inlineStr">
        <is>
          <t>★</t>
        </is>
      </c>
      <c r="C14" s="47" t="inlineStr">
        <is>
          <t>ทองคำแท่งบริสุทธิ์ (96.5% / 99.99%)</t>
        </is>
      </c>
      <c r="D14" s="48" t="inlineStr">
        <is>
          <t>5 บาททองคำ</t>
        </is>
      </c>
      <c r="E14" s="46" t="inlineStr">
        <is>
          <t>-</t>
        </is>
      </c>
      <c r="F14" s="46" t="inlineStr">
        <is>
          <t>-</t>
        </is>
      </c>
      <c r="G14" s="46" t="inlineStr">
        <is>
          <t>-</t>
        </is>
      </c>
      <c r="H14" s="46" t="inlineStr">
        <is>
          <t>-</t>
        </is>
      </c>
      <c r="I14" s="49" t="inlineStr">
        <is>
          <t>Wealth Buffer สินทรัพย์สำรองพิเศษฉุกเฉิน ถือครองแยก 100%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24"/>
  <sheetViews>
    <sheetView showGridLines="1" workbookViewId="0">
      <selection activeCell="A1" sqref="A1"/>
    </sheetView>
  </sheetViews>
  <sheetFormatPr baseColWidth="8" defaultRowHeight="15"/>
  <cols>
    <col width="26" customWidth="1" min="2" max="2"/>
    <col width="34" customWidth="1" min="3" max="3"/>
    <col width="20" customWidth="1" min="4" max="4"/>
    <col width="22" customWidth="1" min="5" max="5"/>
    <col width="40" customWidth="1" min="6" max="6"/>
  </cols>
  <sheetData>
    <row r="2">
      <c r="B2" s="1" t="inlineStr">
        <is>
          <t>โครงสร้างกระแสเงินสดรับ-จ่ายหลังเกษียณอายุ 60 ปี (Dual Pipelines)</t>
        </is>
      </c>
    </row>
    <row r="3">
      <c r="B3" s="2" t="inlineStr">
        <is>
          <t>ท่อที่ 1 คุณแม่ (15,000 บ./ด.) | ท่อที่ 2 ส่วนตัวคุณ (50,038 บ./ด.) พร้อมแผน Drawdown ปลอดภัย</t>
        </is>
      </c>
    </row>
    <row r="5">
      <c r="B5" s="50" t="inlineStr">
        <is>
          <t>1. ท่อกระแสเงินสดรายเดือนหลังอายุ 60 ปี (Dual Cash Flow Pipelines)</t>
        </is>
      </c>
    </row>
    <row r="6" ht="28" customHeight="1">
      <c r="B6" s="51" t="inlineStr">
        <is>
          <t>ท่อกระแสเงินสด</t>
        </is>
      </c>
      <c r="C6" s="51" t="inlineStr">
        <is>
          <t>แหล่งที่มาของเงิน</t>
        </is>
      </c>
      <c r="D6" s="51" t="inlineStr">
        <is>
          <t>รายรับต่อปี (บาท)</t>
        </is>
      </c>
      <c r="E6" s="51" t="inlineStr">
        <is>
          <t>รายรับต่อเดือน (บาท)</t>
        </is>
      </c>
      <c r="F6" s="51" t="inlineStr">
        <is>
          <t>การจัดสรรและวัตถุประสงค์</t>
        </is>
      </c>
    </row>
    <row r="7" ht="22" customHeight="1">
      <c r="B7" s="39" t="inlineStr">
        <is>
          <t>ท่อที่ 1: สำหรับคุณแม่ (แยกบัญชีขาด)</t>
        </is>
      </c>
      <c r="C7" s="43" t="inlineStr">
        <is>
          <t>เงินปันผลหุ้น สอ.กฟผ. (เงินต้น 4.0M @ 4.5%)</t>
        </is>
      </c>
      <c r="D7" s="52" t="n">
        <v>180000</v>
      </c>
      <c r="E7" s="40" t="n">
        <v>15000</v>
      </c>
      <c r="F7" s="43" t="inlineStr">
        <is>
          <t>โอนตรงให้คุณแม่ดูแลค่าใช้จ่ายถึงอายุ 98 ปี</t>
        </is>
      </c>
    </row>
    <row r="8" ht="22" customHeight="1">
      <c r="B8" s="39" t="inlineStr">
        <is>
          <t>ท่อที่ 2: ดอกเบี้ยพอร์ตส่วนตัว</t>
        </is>
      </c>
      <c r="C8" s="43" t="inlineStr">
        <is>
          <t>ผลตอบแทนจาก 5 ตะกร้าที่เหลือ (เงินต้น 21.0M)</t>
        </is>
      </c>
      <c r="D8" s="52" t="n">
        <v>468050</v>
      </c>
      <c r="E8" s="40" t="n">
        <v>39004</v>
      </c>
      <c r="F8" s="43" t="inlineStr">
        <is>
          <t>ผลิตดอกเบี้ยสม่ำเสมอ เงินต้น 21M อยู่ครบ 100%</t>
        </is>
      </c>
    </row>
    <row r="9" ht="22" customHeight="1">
      <c r="B9" s="39" t="inlineStr">
        <is>
          <t>ท่อที่ 2: บำนาญการันตี 1</t>
        </is>
      </c>
      <c r="C9" s="43" t="inlineStr">
        <is>
          <t>บำนาญเดิม (เมืองไทยประกันชีวิต)</t>
        </is>
      </c>
      <c r="D9" s="52" t="n">
        <v>70000</v>
      </c>
      <c r="E9" s="40" t="n">
        <v>5833</v>
      </c>
      <c r="F9" s="43" t="inlineStr">
        <is>
          <t>การันตีรับถึงอายุ 85 ปี</t>
        </is>
      </c>
    </row>
    <row r="10" ht="22" customHeight="1">
      <c r="B10" s="39" t="inlineStr">
        <is>
          <t>ท่อที่ 2: บำนาญการันตี 2</t>
        </is>
      </c>
      <c r="C10" s="43" t="inlineStr">
        <is>
          <t>บำนาญใหม่ #3 (จ่ายสั้นช่วงอายุ 50-54)</t>
        </is>
      </c>
      <c r="D10" s="52" t="n">
        <v>32400</v>
      </c>
      <c r="E10" s="40" t="n">
        <v>2700</v>
      </c>
      <c r="F10" s="43" t="inlineStr">
        <is>
          <t>การันตีรับถึงอายุ 85 ปี</t>
        </is>
      </c>
    </row>
    <row r="11" ht="22" customHeight="1">
      <c r="B11" s="39" t="inlineStr">
        <is>
          <t>ท่อที่ 2: บำนาญการันตี 3</t>
        </is>
      </c>
      <c r="C11" s="43" t="inlineStr">
        <is>
          <t>บำนาญ 85/5 (จ่ายสั้นช่วงอายุ 53-57)</t>
        </is>
      </c>
      <c r="D11" s="52" t="n">
        <v>30000</v>
      </c>
      <c r="E11" s="40" t="n">
        <v>2500</v>
      </c>
      <c r="F11" s="43" t="inlineStr">
        <is>
          <t>การันตีรับถึงอายุ 85 ปี</t>
        </is>
      </c>
    </row>
    <row r="12" ht="26" customHeight="1">
      <c r="B12" s="53" t="inlineStr">
        <is>
          <t>รวมกระแสเงินสดรับส่วนตัวสุทธิ (ท่อที่ 2)</t>
        </is>
      </c>
      <c r="C12" s="53" t="inlineStr">
        <is>
          <t>ดอกเบี้ยพอร์ต 21M + บำนาญ 3 ฉบับ (11,033 บ./ด.)</t>
        </is>
      </c>
      <c r="D12" s="54">
        <f>SUM(D8:D11)</f>
        <v/>
      </c>
      <c r="E12" s="54">
        <f>SUM(E8:E11)</f>
        <v/>
      </c>
      <c r="F12" s="53" t="inlineStr">
        <is>
          <t>เงินสดรับส่วนตัว 50,038 บาท/เดือน (600,450 บ./ปี)</t>
        </is>
      </c>
    </row>
    <row r="14">
      <c r="B14" s="50" t="inlineStr">
        <is>
          <t>2. การจัดสรรงบประมาณส่วนตัวรายเดือน (Personal Expense &amp; Medical Buffer)</t>
        </is>
      </c>
    </row>
    <row r="15" ht="28" customHeight="1">
      <c r="B15" s="55" t="inlineStr">
        <is>
          <t>รายการรายจ่าย</t>
        </is>
      </c>
      <c r="C15" s="55" t="inlineStr">
        <is>
          <t>สัดส่วนในกระแสเงินสด</t>
        </is>
      </c>
      <c r="D15" s="55" t="inlineStr">
        <is>
          <t>งบประมาณต่อปี (บาท)</t>
        </is>
      </c>
      <c r="E15" s="55" t="inlineStr">
        <is>
          <t>งบประมาณต่อเดือน (บาท)</t>
        </is>
      </c>
      <c r="F15" s="55" t="inlineStr">
        <is>
          <t>คำอธิบายการบริหารจัดการ</t>
        </is>
      </c>
    </row>
    <row r="16" ht="22" customHeight="1">
      <c r="B16" s="39" t="inlineStr">
        <is>
          <t>งบกินอยู่ใช้จ่ายในชีวิตประจำวัน</t>
        </is>
      </c>
      <c r="C16" s="43" t="inlineStr">
        <is>
          <t>69.9% ของกระแสเงินสดรับส่วนตัว</t>
        </is>
      </c>
      <c r="D16" s="52" t="n">
        <v>420000</v>
      </c>
      <c r="E16" s="40" t="n">
        <v>35000</v>
      </c>
      <c r="F16" s="43" t="inlineStr">
        <is>
          <t>ใช้จ่ายอิสระตามไลฟ์สไตล์ เกษียณอย่างมีคุณภาพ</t>
        </is>
      </c>
    </row>
    <row r="17" ht="22" customHeight="1">
      <c r="B17" s="39" t="inlineStr">
        <is>
          <t>งบส่วนเกินสำหรับเบี้ยประกันสุขภาพ (Surplus)</t>
        </is>
      </c>
      <c r="C17" s="43" t="inlineStr">
        <is>
          <t>30.1% ของกระแสเงินสดรับส่วนตัว</t>
        </is>
      </c>
      <c r="D17" s="52" t="n">
        <v>180450</v>
      </c>
      <c r="E17" s="40" t="n">
        <v>15038</v>
      </c>
      <c r="F17" s="43" t="inlineStr">
        <is>
          <t>รองรับเบี้ยสุขภาพที่เพิ่มขึ้นตามอายุ โดยไม่แตะเงินต้น 25M</t>
        </is>
      </c>
    </row>
    <row r="20">
      <c r="B20" s="50" t="inlineStr">
        <is>
          <t>3. ลำดับขั้นตอนการทยอยดึงเงินต้นมาใช้ (Drawdown Execution Protocol)</t>
        </is>
      </c>
    </row>
    <row r="21" ht="26" customHeight="1">
      <c r="B21" s="56" t="inlineStr">
        <is>
          <t>ช่วงอายุ (ปี)</t>
        </is>
      </c>
      <c r="C21" s="56" t="inlineStr">
        <is>
          <t>ระยะกลยุทธ์</t>
        </is>
      </c>
      <c r="D21" s="56" t="inlineStr">
        <is>
          <t>สถานะเงินต้น 25 ล้านบาท</t>
        </is>
      </c>
      <c r="E21" s="56" t="inlineStr">
        <is>
          <t>การบริหารจัดการสินทรัพย์</t>
        </is>
      </c>
    </row>
    <row r="22" ht="24" customHeight="1">
      <c r="B22" s="5" t="inlineStr">
        <is>
          <t>60 - 70 ปี</t>
        </is>
      </c>
      <c r="C22" s="34" t="inlineStr">
        <is>
          <t>Capital Preservation Phase</t>
        </is>
      </c>
      <c r="D22" s="38" t="inlineStr">
        <is>
          <t>เงินต้นคงอยู่ครบ 100% (25.00M)</t>
        </is>
      </c>
      <c r="E22" s="38" t="inlineStr">
        <is>
          <t>ใช้จ่ายเฉพาะดอกเบี้ยและบำนาญ 50,038 บ./ด. แบ่ง 500k จากตะกร้า 6 ไว้เป็นกองทุนฉุกเฉินคุณแม่</t>
        </is>
      </c>
    </row>
    <row r="23" ht="24" customHeight="1">
      <c r="B23" s="14" t="inlineStr">
        <is>
          <t>71 - 79 ปี</t>
        </is>
      </c>
      <c r="C23" s="39" t="inlineStr">
        <is>
          <t>Tier-1 Drawdown Phase</t>
        </is>
      </c>
      <c r="D23" s="43" t="inlineStr">
        <is>
          <t>เริ่มทยอยดึงสลากออมทรัพย์ 3.0M</t>
        </is>
      </c>
      <c r="E23" s="43" t="inlineStr">
        <is>
          <t>เบี้ยสุขภาพแตะ 180k-250k บ./ปี ให้ไถ่ถอนสลากออมทรัพย์ปีละ 300k-350k + เงินคืนสะสมทรัพย์ 250k (ตอนอายุ 62)</t>
        </is>
      </c>
    </row>
    <row r="24" ht="24" customHeight="1">
      <c r="B24" s="5" t="inlineStr">
        <is>
          <t>80 ปีขึ้นไป</t>
        </is>
      </c>
      <c r="C24" s="34" t="inlineStr">
        <is>
          <t>Core Liquidation Phase</t>
        </is>
      </c>
      <c r="D24" s="38" t="inlineStr">
        <is>
          <t>ทยอยปลดล็อก MMF และพันธบัตร</t>
        </is>
      </c>
      <c r="E24" s="38" t="inlineStr">
        <is>
          <t>คุณแม่อายุ 98 ปี หุ้น สอ. 4M ปลดล็อกกลับมาเป็นสภาพคล่องส่วนตัว ไถ่ถอน MMF 4M และพันธบัตร 6.5M ตามลำดับ โดยคงเงินฝากพิเศษ 5M และทองคำ 5 บาทไว้ท้ายสุด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2026-10-04T14:48:31Z</dcterms:created>
  <dcterms:modified xmlns:dcterms="http://purl.org/dc/terms/" xmlns:xsi="http://www.w3.org/2001/XMLSchema-instance" xsi:type="dcterms:W3CDTF">2026-10-04T14:48:31Z</dcterms:modified>
</cp:coreProperties>
</file>