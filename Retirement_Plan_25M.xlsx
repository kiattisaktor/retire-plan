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tor/retire-plan/"/>
    </mc:Choice>
  </mc:AlternateContent>
  <xr:revisionPtr revIDLastSave="0" documentId="13_ncr:1_{B6A620D4-C063-8546-9C3C-CE3F563B2840}" xr6:coauthVersionLast="47" xr6:coauthVersionMax="47" xr10:uidLastSave="{00000000-0000-0000-0000-000000000000}"/>
  <bookViews>
    <workbookView xWindow="0" yWindow="600" windowWidth="38400" windowHeight="21000" activeTab="2" xr2:uid="{00000000-000D-0000-FFFF-FFFF00000000}"/>
  </bookViews>
  <sheets>
    <sheet name="1_แผนสะสมเงิน 38-60 ปี" sheetId="1" r:id="rId1"/>
    <sheet name="2_โครงสร้าง 6 ตะกร้า 25 ล้าน" sheetId="2" r:id="rId2"/>
    <sheet name="3_กระแสเงินสดหลังเกษีย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D12" i="3"/>
  <c r="D12" i="2"/>
  <c r="E8" i="2" s="1"/>
  <c r="G11" i="2"/>
  <c r="H11" i="2" s="1"/>
  <c r="E11" i="2"/>
  <c r="G10" i="2"/>
  <c r="H10" i="2" s="1"/>
  <c r="G9" i="2"/>
  <c r="H9" i="2" s="1"/>
  <c r="G8" i="2"/>
  <c r="H8" i="2" s="1"/>
  <c r="G7" i="2"/>
  <c r="H7" i="2" s="1"/>
  <c r="G6" i="2"/>
  <c r="G12" i="2" s="1"/>
  <c r="F12" i="2" s="1"/>
  <c r="E6" i="2"/>
  <c r="K29" i="1"/>
  <c r="I29" i="1"/>
  <c r="H29" i="1"/>
  <c r="G29" i="1"/>
  <c r="F29" i="1"/>
  <c r="D29" i="1"/>
  <c r="J28" i="1"/>
  <c r="L28" i="1" s="1"/>
  <c r="E28" i="1"/>
  <c r="J27" i="1"/>
  <c r="L27" i="1" s="1"/>
  <c r="E27" i="1"/>
  <c r="J26" i="1"/>
  <c r="L26" i="1" s="1"/>
  <c r="E26" i="1"/>
  <c r="L25" i="1"/>
  <c r="J25" i="1"/>
  <c r="E25" i="1"/>
  <c r="L24" i="1"/>
  <c r="J24" i="1"/>
  <c r="E24" i="1"/>
  <c r="E23" i="1"/>
  <c r="J23" i="1" s="1"/>
  <c r="L23" i="1" s="1"/>
  <c r="J22" i="1"/>
  <c r="L22" i="1" s="1"/>
  <c r="E22" i="1"/>
  <c r="E21" i="1"/>
  <c r="J21" i="1" s="1"/>
  <c r="L21" i="1" s="1"/>
  <c r="E20" i="1"/>
  <c r="J20" i="1" s="1"/>
  <c r="L20" i="1" s="1"/>
  <c r="L19" i="1"/>
  <c r="J19" i="1"/>
  <c r="E19" i="1"/>
  <c r="E18" i="1"/>
  <c r="J18" i="1" s="1"/>
  <c r="L18" i="1" s="1"/>
  <c r="E17" i="1"/>
  <c r="J17" i="1" s="1"/>
  <c r="L17" i="1" s="1"/>
  <c r="E16" i="1"/>
  <c r="J16" i="1" s="1"/>
  <c r="L16" i="1" s="1"/>
  <c r="E15" i="1"/>
  <c r="J15" i="1" s="1"/>
  <c r="L15" i="1" s="1"/>
  <c r="J14" i="1"/>
  <c r="L14" i="1" s="1"/>
  <c r="E14" i="1"/>
  <c r="E13" i="1"/>
  <c r="J13" i="1" s="1"/>
  <c r="L13" i="1" s="1"/>
  <c r="E12" i="1"/>
  <c r="J12" i="1" s="1"/>
  <c r="L12" i="1" s="1"/>
  <c r="L11" i="1"/>
  <c r="J11" i="1"/>
  <c r="E11" i="1"/>
  <c r="E10" i="1"/>
  <c r="J10" i="1" s="1"/>
  <c r="L10" i="1" s="1"/>
  <c r="E9" i="1"/>
  <c r="J9" i="1" s="1"/>
  <c r="L9" i="1" s="1"/>
  <c r="E8" i="1"/>
  <c r="J8" i="1" s="1"/>
  <c r="L8" i="1" s="1"/>
  <c r="E7" i="1"/>
  <c r="J7" i="1" s="1"/>
  <c r="L7" i="1" s="1"/>
  <c r="J6" i="1"/>
  <c r="L6" i="1" s="1"/>
  <c r="E6" i="1"/>
  <c r="E29" i="1" s="1"/>
  <c r="L29" i="1" l="1"/>
  <c r="E9" i="2"/>
  <c r="H6" i="2"/>
  <c r="H12" i="2" s="1"/>
  <c r="E7" i="2"/>
  <c r="E12" i="2" s="1"/>
  <c r="E10" i="2"/>
</calcChain>
</file>

<file path=xl/sharedStrings.xml><?xml version="1.0" encoding="utf-8"?>
<sst xmlns="http://schemas.openxmlformats.org/spreadsheetml/2006/main" count="127" uniqueCount="121">
  <si>
    <t>แผนการออม การลงทุน และชำระเบี้ยประกัน สู่เป้าหมายเกษียณ 25 ล้านบาท</t>
  </si>
  <si>
    <t>พนักงาน กฟผ. ช่วงอายุ 38 - 60 ปี (รวม 23 ปี) | แผนจัดสรรแบบผสมผสาน (Hybrid Blueprint)</t>
  </si>
  <si>
    <t>ลำดับ</t>
  </si>
  <si>
    <t>อายุ (ปี)</t>
  </si>
  <si>
    <t>ฐานเงินเดือน (บาท)</t>
  </si>
  <si>
    <t>PVD สะสม 15% (บ./ด.)</t>
  </si>
  <si>
    <t>หุ้น สอ.กฟผ. (บ./ด.)</t>
  </si>
  <si>
    <t>กองทุน RMF (บ./ด.)</t>
  </si>
  <si>
    <t>ประกันเดิม 3 ฉบับ (บ./ด.)</t>
  </si>
  <si>
    <t>ฝากพิเศษ สอ. (บ./ด.)</t>
  </si>
  <si>
    <t>รวมหักเงินเดือนประจำ (บ./ด.)</t>
  </si>
  <si>
    <t>บำนาญใหม่ หักโบนัส (บ./ปี)</t>
  </si>
  <si>
    <t>รวมภาระจ่ายทั้งปี (บ./ปี)</t>
  </si>
  <si>
    <t>หมายเหตุสำคัญ / Strategic Action</t>
  </si>
  <si>
    <t>เริ่มแผน: สอ. 20k/ด. ล็อกเป้า 4M, RMF 2k/ด., PVD 15%</t>
  </si>
  <si>
    <t>ฐานเงินเดือนโต 5% ต่อปี</t>
  </si>
  <si>
    <t>สะสมหุ้น สอ. ต่อเนื่อง</t>
  </si>
  <si>
    <t>ปรับเบี้ยประกันสุขภาพตามช่วงอายุ</t>
  </si>
  <si>
    <t>ปีสุดท้ายที่ส่ง สอ.กฟผ. ครบเป้าหมายเงินต้น 4,000,000 บ.</t>
  </si>
  <si>
    <t>หยุดส่ง สอ. (ปันผล 15k/ด. โอนให้แม่ 100%), เร่ง RMF เป็น 24k/ด.</t>
  </si>
  <si>
    <t>เร่งสปีดหุ้นโลกผ่าน PVD 15% + RMF 24k</t>
  </si>
  <si>
    <t>ช่วงสะสมสินทรัพย์เติบโตสูง</t>
  </si>
  <si>
    <t>ปรับเบี้ยประกันสุขภาพตามช่วงอายุ 46-50 ปี</t>
  </si>
  <si>
    <t>เตรียมแตะเพดานเงินเดือน กฟผ.</t>
  </si>
  <si>
    <t>ฐานเงินเดือนแตะเพดาน 100,000 บ. (PVD หักคงที่ 15,000 บ./ด.)</t>
  </si>
  <si>
    <t>ปีสุดท้ายของการเร่ง RMF 24k/ด.</t>
  </si>
  <si>
    <t>RMF ลดเหลือ 16k/ด. + ซื้อบำนาญใหม่ #3 จ่าย 100k/ปี จากโบนัส (ปี 1/5)</t>
  </si>
  <si>
    <t>บำนาญใหม่ #3 จ่าย 100k/ปี (ปี 2/5) | ปรับเบี้ยสุขภาพช่วง 51-55</t>
  </si>
  <si>
    <t>บำนาญใหม่ #3 จ่าย 100k/ปี (ปี 3/5)</t>
  </si>
  <si>
    <t>ซื้อบำนาญ 85/5 เพิ่ม 100k/ปี (ปี 1/5) ซ้อนบำนาญ #3 (ปี 4/5) รวม 200k/ปี</t>
  </si>
  <si>
    <t>บำนาญ 85/5 (ปี 2/5) + บำนาญ #3 (ปี 5/5 งวดสุดท้าย) รวม 200k/ปี</t>
  </si>
  <si>
    <t>สับ PVD+RMF เข้าตราสารหนี้ | ฝากพิเศษ สอ. 10k/ด. | บำนาญ 85/5 (ปี 3/5)</t>
  </si>
  <si>
    <t>บำนาญ 85/5 (ปี 4/5) | ปรับเบี้ยสุขภาพช่วง 56-60 | ฝากพิเศษ 10k/ด.</t>
  </si>
  <si>
    <t>ส่งประกันสะสมทรัพย์งวดสุดท้าย | บำนาญ 85/5 งวดสุดท้าย (ปี 5/5)</t>
  </si>
  <si>
    <t>หยุดส่งสะสมทรัพย์ (รับเงินคืน 250k เข้า e-Savings) เหลือส่งบำนาญเดิม+สุขภาพ</t>
  </si>
  <si>
    <t>เตรียมความพร้อมก่อนเกษียณ 1 ปี</t>
  </si>
  <si>
    <t>ปีสุดท้าย: ส่งบำนาญเดิมงวดสุดท้าย + รับเงินชดเชยเกษียณ 400 วัน 1.312M</t>
  </si>
  <si>
    <t>รวมตลอด 23 ปี</t>
  </si>
  <si>
    <t>-</t>
  </si>
  <si>
    <t>ยอดชำระสะสมตลอด 23 ปี เพื่อสร้างพอร์ต 25 ล้านบาท + ทองคำ 5 บาท</t>
  </si>
  <si>
    <t>โครงสร้างพอร์ตสินทรัพย์ 25.00 ล้านบาท ณ วันเกษียณอายุ 60 ปี</t>
  </si>
  <si>
    <t>กระจายความเสี่ยง 6 ตะกร้าสินทรัพย์ + ทองคำแท่ง 5 บาท สำรองพิเศษ | ผลิตกระแสเงินสดมั่นคง</t>
  </si>
  <si>
    <t>ตะกร้าที่</t>
  </si>
  <si>
    <t>รายการสินทรัพย์ / สถาบัน</t>
  </si>
  <si>
    <t>เงินต้นวันเกษียณ (บาท)</t>
  </si>
  <si>
    <t>สัดส่วน (%)</t>
  </si>
  <si>
    <t>ผลตอบแทนสุทธิ (%/ปี)</t>
  </si>
  <si>
    <t>กระแสเงินสดรับ (บาท/ปี)</t>
  </si>
  <si>
    <t>กระแสเงินสดรับ (บาท/เดือน)</t>
  </si>
  <si>
    <t>บทบาทและหน้าที่ในแผนเกษียณ</t>
  </si>
  <si>
    <t>เงินฝากพิเศษเกษียณสุข สอ.กฟผ.</t>
  </si>
  <si>
    <t>เครื่องจักรผลิตดอกเบี้ยหลัก ปลอดภัยสูง (ปลอดภาษี)</t>
  </si>
  <si>
    <t>ทุนเรือนหุ้น สอ.กฟผ. (ท่อคุณแม่)</t>
  </si>
  <si>
    <t>โอนตรงให้คุณแม่ 100% แยกบัญชีขาด (15k/ด.) (ปลอดภาษี)</t>
  </si>
  <si>
    <t>พันธบัตรรัฐบาล / วอลเล็ต สบม.</t>
  </si>
  <si>
    <t>ล็อกผลตอบแทนระยะยาว ไร้ความเสี่ยงผิดนัด (หลังหักภาษี 15%)</t>
  </si>
  <si>
    <t>กองทุนตลาดเงิน Treasury MMF</t>
  </si>
  <si>
    <t>เสริมสภาพคล่องสูง T+1 พร้อมสับเปลี่ยน (ปลอดภาษี)</t>
  </si>
  <si>
    <t>สลากออมทรัพย์ 3 สถาบัน</t>
  </si>
  <si>
    <t>ทุนสำรองสภาพคล่องด่านแรก ทยอยดึงใช้หลังอายุ 70 (ดอกเบี้ย+รางวัลเฉลี่ย)</t>
  </si>
  <si>
    <t>e-Savings + คืนประกัน + เงิน 400 วัน</t>
  </si>
  <si>
    <t>สภาพคล่องฉุกเฉิน ดูแลสุขภาพและกองทุนคุณแม่ (หลังหักภาษี 15%)</t>
  </si>
  <si>
    <t>รวมพอร์ตสินทรัพย์ 6 ตะกร้า</t>
  </si>
  <si>
    <t>ผลิตกระแสเงินสดเฉลี่ย 56,258 บ./เดือน (รวมท่อคุณแม่ 15,000 บ./ด.)</t>
  </si>
  <si>
    <t>★</t>
  </si>
  <si>
    <t>ทองคำแท่งบริสุทธิ์ (96.5% / 99.99%)</t>
  </si>
  <si>
    <t>5 บาททองคำ</t>
  </si>
  <si>
    <t>Wealth Buffer สินทรัพย์สำรองพิเศษฉุกเฉิน ถือครองแยก 100%</t>
  </si>
  <si>
    <t>โครงสร้างกระแสเงินสดรับ-จ่ายหลังเกษียณอายุ 60 ปี (Dual Pipelines)</t>
  </si>
  <si>
    <t>ท่อที่ 1 คุณแม่ (15,000 บ./ด.) | ท่อที่ 2 ส่วนตัวคุณ (52,291 บ./ด.) พร้อมแผน Drawdown ปลอดภัย</t>
  </si>
  <si>
    <t>1. ท่อกระแสเงินสดรายเดือนหลังอายุ 60 ปี (Dual Cash Flow Pipelines)</t>
  </si>
  <si>
    <t>ท่อกระแสเงินสด</t>
  </si>
  <si>
    <t>แหล่งที่มาของเงิน</t>
  </si>
  <si>
    <t>รายรับต่อปี (บาท)</t>
  </si>
  <si>
    <t>รายรับต่อเดือน (บาท)</t>
  </si>
  <si>
    <t>การจัดสรรและวัตถุประสงค์</t>
  </si>
  <si>
    <t>ท่อที่ 1: สำหรับคุณแม่ (แยกบัญชีขาด)</t>
  </si>
  <si>
    <t>เงินปันผลหุ้น สอ.กฟผ. (เงินต้น 4.0M @ 4.5%)</t>
  </si>
  <si>
    <t>โอนตรงให้คุณแม่ดูแลค่าใช้จ่ายถึงอายุ 98 ปี</t>
  </si>
  <si>
    <t>ท่อที่ 2: ดอกเบี้ยพอร์ตส่วนตัว</t>
  </si>
  <si>
    <t>ผลตอบแทนจาก 5 ตะกร้าที่เหลือ (เงินต้น 21.0M)</t>
  </si>
  <si>
    <t>ผลิตดอกเบี้ยสม่ำเสมอ เงินต้น 21M อยู่ครบ 100%</t>
  </si>
  <si>
    <t>ท่อที่ 2: บำนาญการันตี 1</t>
  </si>
  <si>
    <t>บำนาญเดิม (เมืองไทยประกันชีวิต)</t>
  </si>
  <si>
    <t>การันตีรับถึงอายุ 85 ปี</t>
  </si>
  <si>
    <t>ท่อที่ 2: บำนาญการันตี 2</t>
  </si>
  <si>
    <t>บำนาญใหม่ #3 (จ่ายสั้นช่วงอายุ 50-54)</t>
  </si>
  <si>
    <t>ท่อที่ 2: บำนาญการันตี 3</t>
  </si>
  <si>
    <t>บำนาญ 85/5 (จ่ายสั้นช่วงอายุ 53-57)</t>
  </si>
  <si>
    <t>รวมกระแสเงินสดรับส่วนตัวสุทธิ (ท่อที่ 2)</t>
  </si>
  <si>
    <t>ดอกเบี้ยพอร์ต 21M + บำนาญ 3 ฉบับ (11,033 บ./ด.)</t>
  </si>
  <si>
    <t>เงินสดรับส่วนตัว 52,291 บาท/เดือน (627,500 บ./ปี)</t>
  </si>
  <si>
    <t>2. การจัดสรรงบประมาณส่วนตัวรายเดือน (Personal Expense &amp; Medical Buffer)</t>
  </si>
  <si>
    <t>รายการรายจ่าย</t>
  </si>
  <si>
    <t>สัดส่วนในกระแสเงินสด</t>
  </si>
  <si>
    <t>งบประมาณต่อปี (บาท)</t>
  </si>
  <si>
    <t>งบประมาณต่อเดือน (บาท)</t>
  </si>
  <si>
    <t>คำอธิบายการบริหารจัดการ</t>
  </si>
  <si>
    <t>งบกินอยู่ใช้จ่ายในชีวิตประจำวัน</t>
  </si>
  <si>
    <t>66.9% ของกระแสเงินสดรับส่วนตัว</t>
  </si>
  <si>
    <t>ใช้จ่ายอิสระตามไลฟ์สไตล์ เกษียณอย่างมีคุณภาพ</t>
  </si>
  <si>
    <t>งบส่วนเกินสำหรับเบี้ยประกันสุขภาพ (Surplus)</t>
  </si>
  <si>
    <t>33.1% ของกระแสเงินสดรับส่วนตัว</t>
  </si>
  <si>
    <t>รองรับเบี้ยสุขภาพที่เพิ่มขึ้นตามอายุ โดยไม่แตะเงินต้น 25M</t>
  </si>
  <si>
    <t>3. ลำดับขั้นตอนการทยอยดึงเงินต้นมาใช้ (Drawdown Execution Protocol)</t>
  </si>
  <si>
    <t>ช่วงอายุ (ปี)</t>
  </si>
  <si>
    <t>ระยะกลยุทธ์</t>
  </si>
  <si>
    <t>สถานะเงินต้น 25 ล้านบาท</t>
  </si>
  <si>
    <t>การบริหารจัดการสินทรัพย์</t>
  </si>
  <si>
    <t>60 - 70 ปี</t>
  </si>
  <si>
    <t>Capital Preservation Phase</t>
  </si>
  <si>
    <t>เงินต้นคงอยู่ครบ 100% (25.00M)</t>
  </si>
  <si>
    <t>ใช้จ่ายเฉพาะดอกเบี้ยและบำนาญ 52,291 บ./ด. แบ่ง 500k จากตะกร้า 6 ไว้เป็นกองทุนฉุกเฉินคุณแม่</t>
  </si>
  <si>
    <t>71 - 79 ปี</t>
  </si>
  <si>
    <t>Tier-1 Drawdown Phase</t>
  </si>
  <si>
    <t>เริ่มทยอยดึงสลากออมทรัพย์ 3.0M</t>
  </si>
  <si>
    <t>เบี้ยสุขภาพแตะ 180k-250k บ./ปี ให้ไถ่ถอนสลากออมทรัพย์ปีละ 300k-350k + เงินคืนสะสมทรัพย์ 250k (ตอนอายุ 62)</t>
  </si>
  <si>
    <t>80 ปีขึ้นไป</t>
  </si>
  <si>
    <t>Core Liquidation Phase</t>
  </si>
  <si>
    <t>ทยอยปลดล็อก MMF และพันธบัตร</t>
  </si>
  <si>
    <t>คุณแม่อายุ 98 ปี หุ้น สอ. 4M ปลดล็อกกลับมาเป็นสภาพคล่องส่วนตัว ไถ่ถอน MMF 4M และพันธบัตร 5.5M ตามลำดับ โดยคงเงินฝากพิเศษ 6M และทองคำ 5 บาทไว้ท้ายสุด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</si>
</sst>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9" x14ac:knownFonts="1">
    <font>
      <sz val="11"/>
      <color theme="1"/>
      <name val="Calibri"/>
      <family val="2"/>
      <scheme val="minor"/>
    </font>
    <font>
      <b/>
      <sz val="16"/>
      <color rgb="FF1B365D"/>
      <name val="Arial"/>
    </font>
    <font>
      <i/>
      <sz val="11"/>
      <color rgb="FF64748B"/>
      <name val="Arial"/>
    </font>
    <font>
      <b/>
      <sz val="11"/>
      <color rgb="FFFFFFFF"/>
      <name val="Arial"/>
    </font>
    <font>
      <sz val="10"/>
      <color rgb="FF1A1A1A"/>
      <name val="Arial"/>
    </font>
    <font>
      <b/>
      <sz val="10"/>
      <color rgb="FF1A1A1A"/>
      <name val="Arial"/>
    </font>
    <font>
      <b/>
      <sz val="10"/>
      <color rgb="FF0D5C3A"/>
      <name val="Arial"/>
    </font>
    <font>
      <i/>
      <sz val="10"/>
      <name val="Arial"/>
    </font>
    <font>
      <b/>
      <sz val="12"/>
      <color rgb="FF1B365D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1F5F9"/>
        <bgColor rgb="FFF1F5F9"/>
      </patternFill>
    </fill>
    <fill>
      <patternFill patternType="solid">
        <fgColor rgb="FFE0F2FE"/>
        <bgColor rgb="FFE0F2FE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0D5C3A"/>
        <bgColor rgb="FF0D5C3A"/>
      </patternFill>
    </fill>
    <fill>
      <patternFill patternType="solid">
        <fgColor rgb="FFFFFBEB"/>
        <bgColor rgb="FFFFFBEB"/>
      </patternFill>
    </fill>
    <fill>
      <patternFill patternType="solid">
        <fgColor rgb="FF334155"/>
        <bgColor rgb="FF33415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5" fillId="7" borderId="2" xfId="0" applyFont="1" applyFill="1" applyBorder="1"/>
    <xf numFmtId="0" fontId="5" fillId="7" borderId="2" xfId="0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5" fillId="7" borderId="2" xfId="0" applyNumberFormat="1" applyFont="1" applyFill="1" applyBorder="1" applyAlignment="1">
      <alignment horizontal="right" vertical="center"/>
    </xf>
    <xf numFmtId="165" fontId="5" fillId="7" borderId="2" xfId="0" applyNumberFormat="1" applyFont="1" applyFill="1" applyBorder="1" applyAlignment="1">
      <alignment horizontal="right" vertical="center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right" vertical="center"/>
    </xf>
    <xf numFmtId="0" fontId="7" fillId="9" borderId="1" xfId="0" applyFont="1" applyFill="1" applyBorder="1"/>
    <xf numFmtId="0" fontId="8" fillId="0" borderId="0" xfId="0" applyFont="1"/>
    <xf numFmtId="0" fontId="3" fillId="2" borderId="0" xfId="0" applyFont="1" applyFill="1" applyAlignment="1">
      <alignment horizontal="center" vertical="center"/>
    </xf>
    <xf numFmtId="0" fontId="5" fillId="6" borderId="1" xfId="0" applyFont="1" applyFill="1" applyBorder="1"/>
    <xf numFmtId="0" fontId="4" fillId="6" borderId="1" xfId="0" applyFont="1" applyFill="1" applyBorder="1"/>
    <xf numFmtId="3" fontId="0" fillId="6" borderId="1" xfId="0" applyNumberFormat="1" applyFill="1" applyBorder="1" applyAlignment="1">
      <alignment horizontal="right" vertical="center"/>
    </xf>
    <xf numFmtId="0" fontId="5" fillId="5" borderId="2" xfId="0" applyFont="1" applyFill="1" applyBorder="1"/>
    <xf numFmtId="3" fontId="5" fillId="5" borderId="2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5" fillId="3" borderId="1" xfId="0" applyFont="1" applyFill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9"/>
  <sheetViews>
    <sheetView workbookViewId="0">
      <selection activeCell="Q15" sqref="Q15"/>
    </sheetView>
  </sheetViews>
  <sheetFormatPr baseColWidth="10" defaultColWidth="8.83203125" defaultRowHeight="15" x14ac:dyDescent="0.2"/>
  <cols>
    <col min="2" max="2" width="6" customWidth="1"/>
    <col min="3" max="4" width="11.5" bestFit="1" customWidth="1"/>
    <col min="5" max="5" width="14.5" bestFit="1" customWidth="1"/>
    <col min="6" max="6" width="16.83203125" bestFit="1" customWidth="1"/>
    <col min="7" max="7" width="14.6640625" bestFit="1" customWidth="1"/>
    <col min="8" max="8" width="18.33203125" bestFit="1" customWidth="1"/>
    <col min="9" max="9" width="18" customWidth="1"/>
    <col min="10" max="10" width="18.5" bestFit="1" customWidth="1"/>
    <col min="11" max="11" width="20.5" bestFit="1" customWidth="1"/>
    <col min="12" max="12" width="19.1640625" bestFit="1" customWidth="1"/>
    <col min="13" max="13" width="62.33203125" customWidth="1"/>
  </cols>
  <sheetData>
    <row r="2" spans="2:13" ht="20" x14ac:dyDescent="0.2">
      <c r="B2" s="1" t="s">
        <v>0</v>
      </c>
    </row>
    <row r="3" spans="2:13" x14ac:dyDescent="0.2">
      <c r="B3" s="2" t="s">
        <v>1</v>
      </c>
    </row>
    <row r="5" spans="2:13" ht="36" customHeight="1" x14ac:dyDescent="0.2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</row>
    <row r="6" spans="2:13" ht="22" customHeight="1" x14ac:dyDescent="0.2">
      <c r="B6" s="4">
        <v>1</v>
      </c>
      <c r="C6" s="5">
        <v>38</v>
      </c>
      <c r="D6" s="6">
        <v>63000</v>
      </c>
      <c r="E6" s="6">
        <f t="shared" ref="E6:E28" si="0">ROUND(D6*0.15, 0)</f>
        <v>9450</v>
      </c>
      <c r="F6" s="6">
        <v>20000</v>
      </c>
      <c r="G6" s="6">
        <v>2000</v>
      </c>
      <c r="H6" s="6">
        <v>9583</v>
      </c>
      <c r="I6" s="6">
        <v>0</v>
      </c>
      <c r="J6" s="7">
        <f t="shared" ref="J6:J28" si="1">SUM(E6:I6)</f>
        <v>41033</v>
      </c>
      <c r="K6" s="6">
        <v>0</v>
      </c>
      <c r="L6" s="8">
        <f t="shared" ref="L6:L28" si="2">J6*12+K6</f>
        <v>492396</v>
      </c>
      <c r="M6" s="9" t="s">
        <v>14</v>
      </c>
    </row>
    <row r="7" spans="2:13" ht="22" customHeight="1" x14ac:dyDescent="0.2">
      <c r="B7" s="10">
        <v>2</v>
      </c>
      <c r="C7" s="11">
        <v>39</v>
      </c>
      <c r="D7" s="12">
        <v>66150</v>
      </c>
      <c r="E7" s="12">
        <f t="shared" si="0"/>
        <v>9923</v>
      </c>
      <c r="F7" s="12">
        <v>20000</v>
      </c>
      <c r="G7" s="12">
        <v>2000</v>
      </c>
      <c r="H7" s="12">
        <v>9583</v>
      </c>
      <c r="I7" s="12">
        <v>0</v>
      </c>
      <c r="J7" s="7">
        <f t="shared" si="1"/>
        <v>41506</v>
      </c>
      <c r="K7" s="12">
        <v>0</v>
      </c>
      <c r="L7" s="8">
        <f t="shared" si="2"/>
        <v>498072</v>
      </c>
      <c r="M7" s="13" t="s">
        <v>15</v>
      </c>
    </row>
    <row r="8" spans="2:13" ht="22" customHeight="1" x14ac:dyDescent="0.2">
      <c r="B8" s="4">
        <v>3</v>
      </c>
      <c r="C8" s="5">
        <v>40</v>
      </c>
      <c r="D8" s="6">
        <v>69458</v>
      </c>
      <c r="E8" s="6">
        <f t="shared" si="0"/>
        <v>10419</v>
      </c>
      <c r="F8" s="6">
        <v>20000</v>
      </c>
      <c r="G8" s="6">
        <v>2000</v>
      </c>
      <c r="H8" s="6">
        <v>9583</v>
      </c>
      <c r="I8" s="6">
        <v>0</v>
      </c>
      <c r="J8" s="7">
        <f t="shared" si="1"/>
        <v>42002</v>
      </c>
      <c r="K8" s="6">
        <v>0</v>
      </c>
      <c r="L8" s="8">
        <f t="shared" si="2"/>
        <v>504024</v>
      </c>
      <c r="M8" s="9" t="s">
        <v>16</v>
      </c>
    </row>
    <row r="9" spans="2:13" ht="22" customHeight="1" x14ac:dyDescent="0.2">
      <c r="B9" s="10">
        <v>4</v>
      </c>
      <c r="C9" s="11">
        <v>41</v>
      </c>
      <c r="D9" s="12">
        <v>72930</v>
      </c>
      <c r="E9" s="12">
        <f t="shared" si="0"/>
        <v>10940</v>
      </c>
      <c r="F9" s="12">
        <v>20000</v>
      </c>
      <c r="G9" s="12">
        <v>2000</v>
      </c>
      <c r="H9" s="12">
        <v>10000</v>
      </c>
      <c r="I9" s="12">
        <v>0</v>
      </c>
      <c r="J9" s="7">
        <f t="shared" si="1"/>
        <v>42940</v>
      </c>
      <c r="K9" s="12">
        <v>0</v>
      </c>
      <c r="L9" s="8">
        <f t="shared" si="2"/>
        <v>515280</v>
      </c>
      <c r="M9" s="13" t="s">
        <v>17</v>
      </c>
    </row>
    <row r="10" spans="2:13" ht="22" customHeight="1" x14ac:dyDescent="0.2">
      <c r="B10" s="4">
        <v>5</v>
      </c>
      <c r="C10" s="5">
        <v>42</v>
      </c>
      <c r="D10" s="6">
        <v>76577</v>
      </c>
      <c r="E10" s="6">
        <f t="shared" si="0"/>
        <v>11487</v>
      </c>
      <c r="F10" s="6">
        <v>20000</v>
      </c>
      <c r="G10" s="6">
        <v>2000</v>
      </c>
      <c r="H10" s="6">
        <v>10000</v>
      </c>
      <c r="I10" s="6">
        <v>0</v>
      </c>
      <c r="J10" s="7">
        <f t="shared" si="1"/>
        <v>43487</v>
      </c>
      <c r="K10" s="6">
        <v>0</v>
      </c>
      <c r="L10" s="8">
        <f t="shared" si="2"/>
        <v>521844</v>
      </c>
      <c r="M10" s="9" t="s">
        <v>18</v>
      </c>
    </row>
    <row r="11" spans="2:13" ht="22" customHeight="1" x14ac:dyDescent="0.2">
      <c r="B11" s="10">
        <v>6</v>
      </c>
      <c r="C11" s="11">
        <v>43</v>
      </c>
      <c r="D11" s="12">
        <v>80406</v>
      </c>
      <c r="E11" s="12">
        <f t="shared" si="0"/>
        <v>12061</v>
      </c>
      <c r="F11" s="12">
        <v>0</v>
      </c>
      <c r="G11" s="12">
        <v>24000</v>
      </c>
      <c r="H11" s="12">
        <v>10000</v>
      </c>
      <c r="I11" s="12">
        <v>0</v>
      </c>
      <c r="J11" s="7">
        <f t="shared" si="1"/>
        <v>46061</v>
      </c>
      <c r="K11" s="12">
        <v>0</v>
      </c>
      <c r="L11" s="8">
        <f t="shared" si="2"/>
        <v>552732</v>
      </c>
      <c r="M11" s="13" t="s">
        <v>19</v>
      </c>
    </row>
    <row r="12" spans="2:13" ht="22" customHeight="1" x14ac:dyDescent="0.2">
      <c r="B12" s="4">
        <v>7</v>
      </c>
      <c r="C12" s="5">
        <v>44</v>
      </c>
      <c r="D12" s="6">
        <v>84426</v>
      </c>
      <c r="E12" s="6">
        <f t="shared" si="0"/>
        <v>12664</v>
      </c>
      <c r="F12" s="6">
        <v>0</v>
      </c>
      <c r="G12" s="6">
        <v>24000</v>
      </c>
      <c r="H12" s="6">
        <v>10000</v>
      </c>
      <c r="I12" s="6">
        <v>0</v>
      </c>
      <c r="J12" s="7">
        <f t="shared" si="1"/>
        <v>46664</v>
      </c>
      <c r="K12" s="6">
        <v>0</v>
      </c>
      <c r="L12" s="8">
        <f t="shared" si="2"/>
        <v>559968</v>
      </c>
      <c r="M12" s="9" t="s">
        <v>20</v>
      </c>
    </row>
    <row r="13" spans="2:13" ht="22" customHeight="1" x14ac:dyDescent="0.2">
      <c r="B13" s="10">
        <v>8</v>
      </c>
      <c r="C13" s="11">
        <v>45</v>
      </c>
      <c r="D13" s="12">
        <v>88647</v>
      </c>
      <c r="E13" s="12">
        <f t="shared" si="0"/>
        <v>13297</v>
      </c>
      <c r="F13" s="12">
        <v>0</v>
      </c>
      <c r="G13" s="12">
        <v>24000</v>
      </c>
      <c r="H13" s="12">
        <v>10000</v>
      </c>
      <c r="I13" s="12">
        <v>0</v>
      </c>
      <c r="J13" s="7">
        <f t="shared" si="1"/>
        <v>47297</v>
      </c>
      <c r="K13" s="12">
        <v>0</v>
      </c>
      <c r="L13" s="8">
        <f t="shared" si="2"/>
        <v>567564</v>
      </c>
      <c r="M13" s="13" t="s">
        <v>21</v>
      </c>
    </row>
    <row r="14" spans="2:13" ht="22" customHeight="1" x14ac:dyDescent="0.2">
      <c r="B14" s="4">
        <v>9</v>
      </c>
      <c r="C14" s="5">
        <v>46</v>
      </c>
      <c r="D14" s="6">
        <v>93080</v>
      </c>
      <c r="E14" s="6">
        <f t="shared" si="0"/>
        <v>13962</v>
      </c>
      <c r="F14" s="6">
        <v>0</v>
      </c>
      <c r="G14" s="6">
        <v>24000</v>
      </c>
      <c r="H14" s="6">
        <v>10667</v>
      </c>
      <c r="I14" s="6">
        <v>0</v>
      </c>
      <c r="J14" s="7">
        <f t="shared" si="1"/>
        <v>48629</v>
      </c>
      <c r="K14" s="6">
        <v>0</v>
      </c>
      <c r="L14" s="8">
        <f t="shared" si="2"/>
        <v>583548</v>
      </c>
      <c r="M14" s="9" t="s">
        <v>22</v>
      </c>
    </row>
    <row r="15" spans="2:13" ht="22" customHeight="1" x14ac:dyDescent="0.2">
      <c r="B15" s="10">
        <v>10</v>
      </c>
      <c r="C15" s="11">
        <v>47</v>
      </c>
      <c r="D15" s="12">
        <v>97734</v>
      </c>
      <c r="E15" s="12">
        <f t="shared" si="0"/>
        <v>14660</v>
      </c>
      <c r="F15" s="12">
        <v>0</v>
      </c>
      <c r="G15" s="12">
        <v>24000</v>
      </c>
      <c r="H15" s="12">
        <v>10667</v>
      </c>
      <c r="I15" s="12">
        <v>0</v>
      </c>
      <c r="J15" s="7">
        <f t="shared" si="1"/>
        <v>49327</v>
      </c>
      <c r="K15" s="12">
        <v>0</v>
      </c>
      <c r="L15" s="8">
        <f t="shared" si="2"/>
        <v>591924</v>
      </c>
      <c r="M15" s="13" t="s">
        <v>23</v>
      </c>
    </row>
    <row r="16" spans="2:13" ht="22" customHeight="1" x14ac:dyDescent="0.2">
      <c r="B16" s="4">
        <v>11</v>
      </c>
      <c r="C16" s="5">
        <v>48</v>
      </c>
      <c r="D16" s="6">
        <v>100000</v>
      </c>
      <c r="E16" s="6">
        <f t="shared" si="0"/>
        <v>15000</v>
      </c>
      <c r="F16" s="6">
        <v>0</v>
      </c>
      <c r="G16" s="6">
        <v>24000</v>
      </c>
      <c r="H16" s="6">
        <v>10667</v>
      </c>
      <c r="I16" s="6">
        <v>0</v>
      </c>
      <c r="J16" s="7">
        <f t="shared" si="1"/>
        <v>49667</v>
      </c>
      <c r="K16" s="6">
        <v>0</v>
      </c>
      <c r="L16" s="8">
        <f t="shared" si="2"/>
        <v>596004</v>
      </c>
      <c r="M16" s="9" t="s">
        <v>24</v>
      </c>
    </row>
    <row r="17" spans="2:13" ht="22" customHeight="1" x14ac:dyDescent="0.2">
      <c r="B17" s="10">
        <v>12</v>
      </c>
      <c r="C17" s="11">
        <v>49</v>
      </c>
      <c r="D17" s="12">
        <v>100000</v>
      </c>
      <c r="E17" s="12">
        <f t="shared" si="0"/>
        <v>15000</v>
      </c>
      <c r="F17" s="12">
        <v>0</v>
      </c>
      <c r="G17" s="12">
        <v>24000</v>
      </c>
      <c r="H17" s="12">
        <v>10667</v>
      </c>
      <c r="I17" s="12">
        <v>0</v>
      </c>
      <c r="J17" s="7">
        <f t="shared" si="1"/>
        <v>49667</v>
      </c>
      <c r="K17" s="12">
        <v>0</v>
      </c>
      <c r="L17" s="8">
        <f t="shared" si="2"/>
        <v>596004</v>
      </c>
      <c r="M17" s="13" t="s">
        <v>25</v>
      </c>
    </row>
    <row r="18" spans="2:13" ht="22" customHeight="1" x14ac:dyDescent="0.2">
      <c r="B18" s="4">
        <v>13</v>
      </c>
      <c r="C18" s="5">
        <v>50</v>
      </c>
      <c r="D18" s="6">
        <v>100000</v>
      </c>
      <c r="E18" s="6">
        <f t="shared" si="0"/>
        <v>15000</v>
      </c>
      <c r="F18" s="6">
        <v>0</v>
      </c>
      <c r="G18" s="6">
        <v>16000</v>
      </c>
      <c r="H18" s="6">
        <v>10667</v>
      </c>
      <c r="I18" s="6">
        <v>0</v>
      </c>
      <c r="J18" s="7">
        <f t="shared" si="1"/>
        <v>41667</v>
      </c>
      <c r="K18" s="6">
        <v>100000</v>
      </c>
      <c r="L18" s="8">
        <f t="shared" si="2"/>
        <v>600004</v>
      </c>
      <c r="M18" s="9" t="s">
        <v>26</v>
      </c>
    </row>
    <row r="19" spans="2:13" ht="22" customHeight="1" x14ac:dyDescent="0.2">
      <c r="B19" s="10">
        <v>14</v>
      </c>
      <c r="C19" s="11">
        <v>51</v>
      </c>
      <c r="D19" s="12">
        <v>100000</v>
      </c>
      <c r="E19" s="12">
        <f t="shared" si="0"/>
        <v>15000</v>
      </c>
      <c r="F19" s="12">
        <v>0</v>
      </c>
      <c r="G19" s="12">
        <v>16000</v>
      </c>
      <c r="H19" s="12">
        <v>11500</v>
      </c>
      <c r="I19" s="12">
        <v>0</v>
      </c>
      <c r="J19" s="7">
        <f t="shared" si="1"/>
        <v>42500</v>
      </c>
      <c r="K19" s="12">
        <v>100000</v>
      </c>
      <c r="L19" s="8">
        <f t="shared" si="2"/>
        <v>610000</v>
      </c>
      <c r="M19" s="13" t="s">
        <v>27</v>
      </c>
    </row>
    <row r="20" spans="2:13" ht="22" customHeight="1" x14ac:dyDescent="0.2">
      <c r="B20" s="4">
        <v>15</v>
      </c>
      <c r="C20" s="5">
        <v>52</v>
      </c>
      <c r="D20" s="6">
        <v>100000</v>
      </c>
      <c r="E20" s="6">
        <f t="shared" si="0"/>
        <v>15000</v>
      </c>
      <c r="F20" s="6">
        <v>0</v>
      </c>
      <c r="G20" s="6">
        <v>16000</v>
      </c>
      <c r="H20" s="6">
        <v>11500</v>
      </c>
      <c r="I20" s="6">
        <v>0</v>
      </c>
      <c r="J20" s="7">
        <f t="shared" si="1"/>
        <v>42500</v>
      </c>
      <c r="K20" s="6">
        <v>100000</v>
      </c>
      <c r="L20" s="8">
        <f t="shared" si="2"/>
        <v>610000</v>
      </c>
      <c r="M20" s="9" t="s">
        <v>28</v>
      </c>
    </row>
    <row r="21" spans="2:13" ht="22" customHeight="1" x14ac:dyDescent="0.2">
      <c r="B21" s="10">
        <v>16</v>
      </c>
      <c r="C21" s="11">
        <v>53</v>
      </c>
      <c r="D21" s="12">
        <v>100000</v>
      </c>
      <c r="E21" s="12">
        <f t="shared" si="0"/>
        <v>15000</v>
      </c>
      <c r="F21" s="12">
        <v>0</v>
      </c>
      <c r="G21" s="12">
        <v>16000</v>
      </c>
      <c r="H21" s="12">
        <v>11500</v>
      </c>
      <c r="I21" s="12">
        <v>0</v>
      </c>
      <c r="J21" s="7">
        <f t="shared" si="1"/>
        <v>42500</v>
      </c>
      <c r="K21" s="12">
        <v>200000</v>
      </c>
      <c r="L21" s="8">
        <f t="shared" si="2"/>
        <v>710000</v>
      </c>
      <c r="M21" s="13" t="s">
        <v>29</v>
      </c>
    </row>
    <row r="22" spans="2:13" ht="22" customHeight="1" x14ac:dyDescent="0.2">
      <c r="B22" s="4">
        <v>17</v>
      </c>
      <c r="C22" s="5">
        <v>54</v>
      </c>
      <c r="D22" s="6">
        <v>100000</v>
      </c>
      <c r="E22" s="6">
        <f t="shared" si="0"/>
        <v>15000</v>
      </c>
      <c r="F22" s="6">
        <v>0</v>
      </c>
      <c r="G22" s="6">
        <v>16000</v>
      </c>
      <c r="H22" s="6">
        <v>11500</v>
      </c>
      <c r="I22" s="6">
        <v>0</v>
      </c>
      <c r="J22" s="7">
        <f t="shared" si="1"/>
        <v>42500</v>
      </c>
      <c r="K22" s="6">
        <v>200000</v>
      </c>
      <c r="L22" s="8">
        <f t="shared" si="2"/>
        <v>710000</v>
      </c>
      <c r="M22" s="9" t="s">
        <v>30</v>
      </c>
    </row>
    <row r="23" spans="2:13" ht="22" customHeight="1" x14ac:dyDescent="0.2">
      <c r="B23" s="10">
        <v>18</v>
      </c>
      <c r="C23" s="11">
        <v>55</v>
      </c>
      <c r="D23" s="12">
        <v>100000</v>
      </c>
      <c r="E23" s="12">
        <f t="shared" si="0"/>
        <v>15000</v>
      </c>
      <c r="F23" s="12">
        <v>0</v>
      </c>
      <c r="G23" s="12">
        <v>16000</v>
      </c>
      <c r="H23" s="12">
        <v>11500</v>
      </c>
      <c r="I23" s="12">
        <v>10000</v>
      </c>
      <c r="J23" s="7">
        <f t="shared" si="1"/>
        <v>52500</v>
      </c>
      <c r="K23" s="12">
        <v>100000</v>
      </c>
      <c r="L23" s="8">
        <f t="shared" si="2"/>
        <v>730000</v>
      </c>
      <c r="M23" s="13" t="s">
        <v>31</v>
      </c>
    </row>
    <row r="24" spans="2:13" ht="22" customHeight="1" x14ac:dyDescent="0.2">
      <c r="B24" s="4">
        <v>19</v>
      </c>
      <c r="C24" s="5">
        <v>56</v>
      </c>
      <c r="D24" s="6">
        <v>100000</v>
      </c>
      <c r="E24" s="6">
        <f t="shared" si="0"/>
        <v>15000</v>
      </c>
      <c r="F24" s="6">
        <v>0</v>
      </c>
      <c r="G24" s="6">
        <v>16000</v>
      </c>
      <c r="H24" s="6">
        <v>12500</v>
      </c>
      <c r="I24" s="6">
        <v>10000</v>
      </c>
      <c r="J24" s="7">
        <f t="shared" si="1"/>
        <v>53500</v>
      </c>
      <c r="K24" s="6">
        <v>100000</v>
      </c>
      <c r="L24" s="8">
        <f t="shared" si="2"/>
        <v>742000</v>
      </c>
      <c r="M24" s="9" t="s">
        <v>32</v>
      </c>
    </row>
    <row r="25" spans="2:13" ht="22" customHeight="1" x14ac:dyDescent="0.2">
      <c r="B25" s="10">
        <v>20</v>
      </c>
      <c r="C25" s="11">
        <v>57</v>
      </c>
      <c r="D25" s="12">
        <v>100000</v>
      </c>
      <c r="E25" s="12">
        <f t="shared" si="0"/>
        <v>15000</v>
      </c>
      <c r="F25" s="12">
        <v>0</v>
      </c>
      <c r="G25" s="12">
        <v>16000</v>
      </c>
      <c r="H25" s="12">
        <v>12500</v>
      </c>
      <c r="I25" s="12">
        <v>10000</v>
      </c>
      <c r="J25" s="7">
        <f t="shared" si="1"/>
        <v>53500</v>
      </c>
      <c r="K25" s="12">
        <v>100000</v>
      </c>
      <c r="L25" s="8">
        <f t="shared" si="2"/>
        <v>742000</v>
      </c>
      <c r="M25" s="13" t="s">
        <v>33</v>
      </c>
    </row>
    <row r="26" spans="2:13" ht="22" customHeight="1" x14ac:dyDescent="0.2">
      <c r="B26" s="4">
        <v>21</v>
      </c>
      <c r="C26" s="5">
        <v>58</v>
      </c>
      <c r="D26" s="6">
        <v>100000</v>
      </c>
      <c r="E26" s="6">
        <f t="shared" si="0"/>
        <v>15000</v>
      </c>
      <c r="F26" s="6">
        <v>0</v>
      </c>
      <c r="G26" s="6">
        <v>16000</v>
      </c>
      <c r="H26" s="6">
        <v>9167</v>
      </c>
      <c r="I26" s="6">
        <v>10000</v>
      </c>
      <c r="J26" s="7">
        <f t="shared" si="1"/>
        <v>50167</v>
      </c>
      <c r="K26" s="6">
        <v>0</v>
      </c>
      <c r="L26" s="8">
        <f t="shared" si="2"/>
        <v>602004</v>
      </c>
      <c r="M26" s="9" t="s">
        <v>34</v>
      </c>
    </row>
    <row r="27" spans="2:13" ht="22" customHeight="1" x14ac:dyDescent="0.2">
      <c r="B27" s="10">
        <v>22</v>
      </c>
      <c r="C27" s="11">
        <v>59</v>
      </c>
      <c r="D27" s="12">
        <v>100000</v>
      </c>
      <c r="E27" s="12">
        <f t="shared" si="0"/>
        <v>15000</v>
      </c>
      <c r="F27" s="12">
        <v>0</v>
      </c>
      <c r="G27" s="12">
        <v>16000</v>
      </c>
      <c r="H27" s="12">
        <v>9167</v>
      </c>
      <c r="I27" s="12">
        <v>10000</v>
      </c>
      <c r="J27" s="7">
        <f t="shared" si="1"/>
        <v>50167</v>
      </c>
      <c r="K27" s="12">
        <v>0</v>
      </c>
      <c r="L27" s="8">
        <f t="shared" si="2"/>
        <v>602004</v>
      </c>
      <c r="M27" s="13" t="s">
        <v>35</v>
      </c>
    </row>
    <row r="28" spans="2:13" ht="22" customHeight="1" x14ac:dyDescent="0.2">
      <c r="B28" s="4">
        <v>23</v>
      </c>
      <c r="C28" s="5">
        <v>60</v>
      </c>
      <c r="D28" s="6">
        <v>100000</v>
      </c>
      <c r="E28" s="6">
        <f t="shared" si="0"/>
        <v>15000</v>
      </c>
      <c r="F28" s="6">
        <v>0</v>
      </c>
      <c r="G28" s="6">
        <v>16000</v>
      </c>
      <c r="H28" s="6">
        <v>9167</v>
      </c>
      <c r="I28" s="6">
        <v>10000</v>
      </c>
      <c r="J28" s="7">
        <f t="shared" si="1"/>
        <v>50167</v>
      </c>
      <c r="K28" s="6">
        <v>0</v>
      </c>
      <c r="L28" s="8">
        <f t="shared" si="2"/>
        <v>602004</v>
      </c>
      <c r="M28" s="9" t="s">
        <v>36</v>
      </c>
    </row>
    <row r="29" spans="2:13" ht="26" customHeight="1" x14ac:dyDescent="0.2">
      <c r="B29" s="14"/>
      <c r="C29" s="15" t="s">
        <v>37</v>
      </c>
      <c r="D29" s="16">
        <f>SUM(D6:D28)</f>
        <v>2092408</v>
      </c>
      <c r="E29" s="16">
        <f>SUM(E6:E28)*12</f>
        <v>3766356</v>
      </c>
      <c r="F29" s="16">
        <f>SUM(F6:F28)*12</f>
        <v>1200000</v>
      </c>
      <c r="G29" s="16">
        <f>SUM(G6:G28)*12</f>
        <v>4248000</v>
      </c>
      <c r="H29" s="16">
        <f>SUM(H6:H28)*12</f>
        <v>2905020</v>
      </c>
      <c r="I29" s="16">
        <f>SUM(I6:I28)*12</f>
        <v>720000</v>
      </c>
      <c r="J29" s="15" t="s">
        <v>38</v>
      </c>
      <c r="K29" s="16">
        <f>SUM(K6:K28)</f>
        <v>1000000</v>
      </c>
      <c r="L29" s="16">
        <f>SUM(L6:L28)</f>
        <v>13839376</v>
      </c>
      <c r="M29" s="14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4"/>
  <sheetViews>
    <sheetView zoomScale="130" zoomScaleNormal="130" workbookViewId="0">
      <selection activeCell="I24" sqref="I24"/>
    </sheetView>
  </sheetViews>
  <sheetFormatPr baseColWidth="10" defaultColWidth="8.83203125" defaultRowHeight="15" x14ac:dyDescent="0.2"/>
  <cols>
    <col min="2" max="2" width="10" customWidth="1"/>
    <col min="3" max="3" width="32" customWidth="1"/>
    <col min="4" max="4" width="22" customWidth="1"/>
    <col min="5" max="5" width="14" customWidth="1"/>
    <col min="6" max="6" width="20" customWidth="1"/>
    <col min="7" max="7" width="22" customWidth="1"/>
    <col min="8" max="8" width="24" customWidth="1"/>
    <col min="9" max="9" width="54.33203125" bestFit="1" customWidth="1"/>
  </cols>
  <sheetData>
    <row r="2" spans="2:9" ht="20" x14ac:dyDescent="0.2">
      <c r="B2" s="1" t="s">
        <v>40</v>
      </c>
    </row>
    <row r="3" spans="2:9" x14ac:dyDescent="0.2">
      <c r="B3" s="2" t="s">
        <v>41</v>
      </c>
    </row>
    <row r="5" spans="2:9" ht="36" customHeight="1" x14ac:dyDescent="0.2">
      <c r="B5" s="17" t="s">
        <v>42</v>
      </c>
      <c r="C5" s="17" t="s">
        <v>43</v>
      </c>
      <c r="D5" s="17" t="s">
        <v>44</v>
      </c>
      <c r="E5" s="17" t="s">
        <v>45</v>
      </c>
      <c r="F5" s="17" t="s">
        <v>46</v>
      </c>
      <c r="G5" s="17" t="s">
        <v>47</v>
      </c>
      <c r="H5" s="17" t="s">
        <v>48</v>
      </c>
      <c r="I5" s="17" t="s">
        <v>49</v>
      </c>
    </row>
    <row r="6" spans="2:9" ht="24" customHeight="1" x14ac:dyDescent="0.2">
      <c r="B6" s="5">
        <v>1</v>
      </c>
      <c r="C6" s="18" t="s">
        <v>50</v>
      </c>
      <c r="D6" s="19">
        <v>6000000</v>
      </c>
      <c r="E6" s="20">
        <f>D6/D12</f>
        <v>0.24</v>
      </c>
      <c r="F6" s="21">
        <v>3.7499999999999999E-2</v>
      </c>
      <c r="G6" s="6">
        <f t="shared" ref="G6:G11" si="0">ROUND(D6*F6, 0)</f>
        <v>225000</v>
      </c>
      <c r="H6" s="8">
        <f t="shared" ref="H6:H11" si="1">ROUND(G6/12, 0)</f>
        <v>18750</v>
      </c>
      <c r="I6" s="9" t="s">
        <v>51</v>
      </c>
    </row>
    <row r="7" spans="2:9" ht="24" customHeight="1" x14ac:dyDescent="0.2">
      <c r="B7" s="11">
        <v>2</v>
      </c>
      <c r="C7" s="22" t="s">
        <v>52</v>
      </c>
      <c r="D7" s="23">
        <v>4000000</v>
      </c>
      <c r="E7" s="24">
        <f>D7/D12</f>
        <v>0.16</v>
      </c>
      <c r="F7" s="25">
        <v>4.4999999999999998E-2</v>
      </c>
      <c r="G7" s="12">
        <f t="shared" si="0"/>
        <v>180000</v>
      </c>
      <c r="H7" s="8">
        <f t="shared" si="1"/>
        <v>15000</v>
      </c>
      <c r="I7" s="13" t="s">
        <v>53</v>
      </c>
    </row>
    <row r="8" spans="2:9" ht="24" customHeight="1" x14ac:dyDescent="0.2">
      <c r="B8" s="5">
        <v>3</v>
      </c>
      <c r="C8" s="18" t="s">
        <v>54</v>
      </c>
      <c r="D8" s="19">
        <v>5500000</v>
      </c>
      <c r="E8" s="20">
        <f>D8/D12</f>
        <v>0.22</v>
      </c>
      <c r="F8" s="21">
        <v>2.2950000000000002E-2</v>
      </c>
      <c r="G8" s="6">
        <f t="shared" si="0"/>
        <v>126225</v>
      </c>
      <c r="H8" s="8">
        <f t="shared" si="1"/>
        <v>10519</v>
      </c>
      <c r="I8" s="9" t="s">
        <v>55</v>
      </c>
    </row>
    <row r="9" spans="2:9" ht="24" customHeight="1" x14ac:dyDescent="0.2">
      <c r="B9" s="11">
        <v>4</v>
      </c>
      <c r="C9" s="22" t="s">
        <v>56</v>
      </c>
      <c r="D9" s="23">
        <v>4000000</v>
      </c>
      <c r="E9" s="24">
        <f>D9/D12</f>
        <v>0.16</v>
      </c>
      <c r="F9" s="25">
        <v>1.9E-2</v>
      </c>
      <c r="G9" s="12">
        <f t="shared" si="0"/>
        <v>76000</v>
      </c>
      <c r="H9" s="8">
        <f t="shared" si="1"/>
        <v>6333</v>
      </c>
      <c r="I9" s="13" t="s">
        <v>57</v>
      </c>
    </row>
    <row r="10" spans="2:9" ht="24" customHeight="1" x14ac:dyDescent="0.2">
      <c r="B10" s="5">
        <v>5</v>
      </c>
      <c r="C10" s="18" t="s">
        <v>58</v>
      </c>
      <c r="D10" s="19">
        <v>3000000</v>
      </c>
      <c r="E10" s="20">
        <f>D10/D12</f>
        <v>0.12</v>
      </c>
      <c r="F10" s="21">
        <v>1.2E-2</v>
      </c>
      <c r="G10" s="6">
        <f t="shared" si="0"/>
        <v>36000</v>
      </c>
      <c r="H10" s="8">
        <f t="shared" si="1"/>
        <v>3000</v>
      </c>
      <c r="I10" s="9" t="s">
        <v>59</v>
      </c>
    </row>
    <row r="11" spans="2:9" ht="24" customHeight="1" x14ac:dyDescent="0.2">
      <c r="B11" s="11">
        <v>6</v>
      </c>
      <c r="C11" s="22" t="s">
        <v>60</v>
      </c>
      <c r="D11" s="23">
        <v>2500000</v>
      </c>
      <c r="E11" s="24">
        <f>D11/D12</f>
        <v>0.1</v>
      </c>
      <c r="F11" s="25">
        <v>1.2749999999999999E-2</v>
      </c>
      <c r="G11" s="12">
        <f t="shared" si="0"/>
        <v>31875</v>
      </c>
      <c r="H11" s="8">
        <f t="shared" si="1"/>
        <v>2656</v>
      </c>
      <c r="I11" s="13" t="s">
        <v>61</v>
      </c>
    </row>
    <row r="12" spans="2:9" ht="26" customHeight="1" x14ac:dyDescent="0.2">
      <c r="B12" s="14"/>
      <c r="C12" s="15" t="s">
        <v>62</v>
      </c>
      <c r="D12" s="16">
        <f>SUM(D6:D11)</f>
        <v>25000000</v>
      </c>
      <c r="E12" s="26">
        <f>SUM(E6:E11)</f>
        <v>1</v>
      </c>
      <c r="F12" s="27">
        <f>G12/D12</f>
        <v>2.7004E-2</v>
      </c>
      <c r="G12" s="16">
        <f>SUM(G6:G11)</f>
        <v>675100</v>
      </c>
      <c r="H12" s="16">
        <f>SUM(H6:H11)</f>
        <v>56258</v>
      </c>
      <c r="I12" s="14" t="s">
        <v>63</v>
      </c>
    </row>
    <row r="14" spans="2:9" x14ac:dyDescent="0.2">
      <c r="B14" s="28" t="s">
        <v>64</v>
      </c>
      <c r="C14" s="29" t="s">
        <v>65</v>
      </c>
      <c r="D14" s="30" t="s">
        <v>66</v>
      </c>
      <c r="E14" s="28" t="s">
        <v>38</v>
      </c>
      <c r="F14" s="28" t="s">
        <v>38</v>
      </c>
      <c r="G14" s="28" t="s">
        <v>38</v>
      </c>
      <c r="H14" s="28" t="s">
        <v>38</v>
      </c>
      <c r="I14" s="31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4"/>
  <sheetViews>
    <sheetView tabSelected="1" zoomScale="130" zoomScaleNormal="130" workbookViewId="0">
      <selection activeCell="C30" sqref="C30"/>
    </sheetView>
  </sheetViews>
  <sheetFormatPr baseColWidth="10" defaultColWidth="8.83203125" defaultRowHeight="15" x14ac:dyDescent="0.2"/>
  <cols>
    <col min="2" max="2" width="26" customWidth="1"/>
    <col min="3" max="3" width="34" customWidth="1"/>
    <col min="4" max="4" width="25.1640625" bestFit="1" customWidth="1"/>
    <col min="5" max="5" width="45.1640625" customWidth="1"/>
    <col min="6" max="6" width="40" customWidth="1"/>
  </cols>
  <sheetData>
    <row r="2" spans="2:6" ht="20" x14ac:dyDescent="0.2">
      <c r="B2" s="1" t="s">
        <v>68</v>
      </c>
    </row>
    <row r="3" spans="2:6" x14ac:dyDescent="0.2">
      <c r="B3" s="2" t="s">
        <v>69</v>
      </c>
    </row>
    <row r="5" spans="2:6" ht="16" x14ac:dyDescent="0.2">
      <c r="B5" s="32" t="s">
        <v>70</v>
      </c>
    </row>
    <row r="6" spans="2:6" ht="28" customHeight="1" x14ac:dyDescent="0.2">
      <c r="B6" s="33" t="s">
        <v>71</v>
      </c>
      <c r="C6" s="33" t="s">
        <v>72</v>
      </c>
      <c r="D6" s="33" t="s">
        <v>73</v>
      </c>
      <c r="E6" s="33" t="s">
        <v>74</v>
      </c>
      <c r="F6" s="33" t="s">
        <v>75</v>
      </c>
    </row>
    <row r="7" spans="2:6" ht="22" customHeight="1" x14ac:dyDescent="0.2">
      <c r="B7" s="34" t="s">
        <v>76</v>
      </c>
      <c r="C7" s="35" t="s">
        <v>77</v>
      </c>
      <c r="D7" s="36">
        <v>180000</v>
      </c>
      <c r="E7" s="23">
        <v>15000</v>
      </c>
      <c r="F7" s="35" t="s">
        <v>78</v>
      </c>
    </row>
    <row r="8" spans="2:6" ht="22" customHeight="1" x14ac:dyDescent="0.2">
      <c r="B8" s="34" t="s">
        <v>79</v>
      </c>
      <c r="C8" s="35" t="s">
        <v>80</v>
      </c>
      <c r="D8" s="36">
        <v>495100</v>
      </c>
      <c r="E8" s="23">
        <v>41258</v>
      </c>
      <c r="F8" s="35" t="s">
        <v>81</v>
      </c>
    </row>
    <row r="9" spans="2:6" ht="22" customHeight="1" x14ac:dyDescent="0.2">
      <c r="B9" s="34" t="s">
        <v>82</v>
      </c>
      <c r="C9" s="35" t="s">
        <v>83</v>
      </c>
      <c r="D9" s="36">
        <v>70000</v>
      </c>
      <c r="E9" s="23">
        <v>5833</v>
      </c>
      <c r="F9" s="35" t="s">
        <v>84</v>
      </c>
    </row>
    <row r="10" spans="2:6" ht="22" customHeight="1" x14ac:dyDescent="0.2">
      <c r="B10" s="34" t="s">
        <v>85</v>
      </c>
      <c r="C10" s="35" t="s">
        <v>86</v>
      </c>
      <c r="D10" s="36">
        <v>32400</v>
      </c>
      <c r="E10" s="23">
        <v>2700</v>
      </c>
      <c r="F10" s="35" t="s">
        <v>84</v>
      </c>
    </row>
    <row r="11" spans="2:6" ht="22" customHeight="1" x14ac:dyDescent="0.2">
      <c r="B11" s="34" t="s">
        <v>87</v>
      </c>
      <c r="C11" s="35" t="s">
        <v>88</v>
      </c>
      <c r="D11" s="36">
        <v>30000</v>
      </c>
      <c r="E11" s="23">
        <v>2500</v>
      </c>
      <c r="F11" s="35" t="s">
        <v>84</v>
      </c>
    </row>
    <row r="12" spans="2:6" ht="26" customHeight="1" x14ac:dyDescent="0.2">
      <c r="B12" s="37" t="s">
        <v>89</v>
      </c>
      <c r="C12" s="37" t="s">
        <v>90</v>
      </c>
      <c r="D12" s="38">
        <f>SUM(D8:D11)</f>
        <v>627500</v>
      </c>
      <c r="E12" s="38">
        <f>SUM(E8:E11)</f>
        <v>52291</v>
      </c>
      <c r="F12" s="37" t="s">
        <v>91</v>
      </c>
    </row>
    <row r="14" spans="2:6" ht="16" x14ac:dyDescent="0.2">
      <c r="B14" s="32" t="s">
        <v>92</v>
      </c>
    </row>
    <row r="15" spans="2:6" ht="28" customHeight="1" x14ac:dyDescent="0.2">
      <c r="B15" s="39" t="s">
        <v>93</v>
      </c>
      <c r="C15" s="39" t="s">
        <v>94</v>
      </c>
      <c r="D15" s="39" t="s">
        <v>95</v>
      </c>
      <c r="E15" s="39" t="s">
        <v>96</v>
      </c>
      <c r="F15" s="39" t="s">
        <v>97</v>
      </c>
    </row>
    <row r="16" spans="2:6" ht="22" customHeight="1" x14ac:dyDescent="0.2">
      <c r="B16" s="34" t="s">
        <v>98</v>
      </c>
      <c r="C16" s="35" t="s">
        <v>99</v>
      </c>
      <c r="D16" s="36">
        <v>420000</v>
      </c>
      <c r="E16" s="23">
        <v>35000</v>
      </c>
      <c r="F16" s="35" t="s">
        <v>100</v>
      </c>
    </row>
    <row r="17" spans="2:6" ht="22" customHeight="1" x14ac:dyDescent="0.2">
      <c r="B17" s="34" t="s">
        <v>101</v>
      </c>
      <c r="C17" s="35" t="s">
        <v>102</v>
      </c>
      <c r="D17" s="36">
        <v>207500</v>
      </c>
      <c r="E17" s="23">
        <v>17291</v>
      </c>
      <c r="F17" s="35" t="s">
        <v>103</v>
      </c>
    </row>
    <row r="20" spans="2:6" ht="16" x14ac:dyDescent="0.2">
      <c r="B20" s="32" t="s">
        <v>104</v>
      </c>
    </row>
    <row r="21" spans="2:6" ht="26" customHeight="1" x14ac:dyDescent="0.2">
      <c r="B21" s="40" t="s">
        <v>105</v>
      </c>
      <c r="C21" s="40" t="s">
        <v>106</v>
      </c>
      <c r="D21" s="40" t="s">
        <v>107</v>
      </c>
      <c r="E21" s="40" t="s">
        <v>108</v>
      </c>
    </row>
    <row r="22" spans="2:6" ht="24" customHeight="1" x14ac:dyDescent="0.2">
      <c r="B22" s="5" t="s">
        <v>109</v>
      </c>
      <c r="C22" s="41" t="s">
        <v>110</v>
      </c>
      <c r="D22" s="42" t="s">
        <v>111</v>
      </c>
      <c r="E22" s="42" t="s">
        <v>112</v>
      </c>
    </row>
    <row r="23" spans="2:6" ht="24" customHeight="1" x14ac:dyDescent="0.2">
      <c r="B23" s="11" t="s">
        <v>113</v>
      </c>
      <c r="C23" s="34" t="s">
        <v>114</v>
      </c>
      <c r="D23" s="35" t="s">
        <v>115</v>
      </c>
      <c r="E23" s="35" t="s">
        <v>116</v>
      </c>
    </row>
    <row r="24" spans="2:6" ht="24" customHeight="1" x14ac:dyDescent="0.2">
      <c r="B24" s="5" t="s">
        <v>117</v>
      </c>
      <c r="C24" s="41" t="s">
        <v>118</v>
      </c>
      <c r="D24" s="42" t="s">
        <v>119</v>
      </c>
      <c r="E24" s="42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1_แผนสะสมเงิน 38-60 ปี</vt:lpstr>
      <vt:lpstr>2_โครงสร้าง 6 ตะกร้า 25 ล้าน</vt:lpstr>
      <vt:lpstr>3_กระแสเงินสดหลังเกษียณ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Kiattisak Khawnual</cp:lastModifiedBy>
  <dcterms:created xsi:type="dcterms:W3CDTF">2026-10-04T12:26:41Z</dcterms:created>
  <dcterms:modified xsi:type="dcterms:W3CDTF">2026-10-04T14:11:37Z</dcterms:modified>
</cp:coreProperties>
</file>